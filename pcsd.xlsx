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averick\projects\ksc-go\"/>
    </mc:Choice>
  </mc:AlternateContent>
  <xr:revisionPtr revIDLastSave="0" documentId="13_ncr:1_{679E229B-3632-475B-A7C3-305FE19FD04D}" xr6:coauthVersionLast="47" xr6:coauthVersionMax="47" xr10:uidLastSave="{00000000-0000-0000-0000-000000000000}"/>
  <bookViews>
    <workbookView xWindow="28680" yWindow="-120" windowWidth="29040" windowHeight="16440" tabRatio="743" activeTab="1" xr2:uid="{4AC72501-D4D3-4458-A3D2-EA9B841E99F4}"/>
  </bookViews>
  <sheets>
    <sheet name="SOV" sheetId="2" r:id="rId1"/>
    <sheet name="Detail" sheetId="1" r:id="rId2"/>
    <sheet name="Sheet2" sheetId="4" state="hidden" r:id="rId3"/>
    <sheet name="Sheet1" sheetId="3" state="hidden" r:id="rId4"/>
  </sheets>
  <definedNames>
    <definedName name="_xlnm._FilterDatabase" localSheetId="1" hidden="1">Detail!$A$1:$AH$654</definedName>
    <definedName name="_xlnm._FilterDatabase" localSheetId="3" hidden="1">Sheet1!$A$1:$N$416</definedName>
    <definedName name="_xlnm.Print_Area" localSheetId="1">Detail!$A$1:$AH$654</definedName>
    <definedName name="_xlnm.Print_Area" localSheetId="0">SOV!$A$1:$I$34</definedName>
    <definedName name="_xlnm.Print_Titles" localSheetId="1">Detail!$1:$2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05" i="1" l="1"/>
  <c r="U490" i="1"/>
  <c r="U495" i="1"/>
  <c r="U499" i="1"/>
  <c r="AB626" i="1"/>
  <c r="K106" i="1"/>
  <c r="K105" i="1"/>
  <c r="P106" i="1"/>
  <c r="P105" i="1"/>
  <c r="J96" i="1"/>
  <c r="J95" i="1"/>
  <c r="O96" i="1"/>
  <c r="O95" i="1"/>
  <c r="T96" i="1"/>
  <c r="T95" i="1"/>
  <c r="T233" i="1"/>
  <c r="T232" i="1"/>
  <c r="T231" i="1"/>
  <c r="T229" i="1"/>
  <c r="T228" i="1"/>
  <c r="T227" i="1"/>
  <c r="T226" i="1"/>
  <c r="T225" i="1"/>
  <c r="F6" i="1"/>
  <c r="K634" i="1"/>
  <c r="K633" i="1"/>
  <c r="K632" i="1"/>
  <c r="K631" i="1"/>
  <c r="K630" i="1"/>
  <c r="K629" i="1"/>
  <c r="K628" i="1"/>
  <c r="K507" i="1"/>
  <c r="K506" i="1" s="1"/>
  <c r="K505" i="1"/>
  <c r="K504" i="1" s="1"/>
  <c r="K499" i="1"/>
  <c r="K498" i="1"/>
  <c r="K497" i="1"/>
  <c r="K496" i="1"/>
  <c r="K495" i="1"/>
  <c r="K494" i="1"/>
  <c r="K493" i="1"/>
  <c r="K492" i="1"/>
  <c r="K491" i="1"/>
  <c r="K490" i="1"/>
  <c r="K488" i="1"/>
  <c r="K487" i="1"/>
  <c r="K486" i="1"/>
  <c r="K485" i="1"/>
  <c r="K484" i="1"/>
  <c r="K483" i="1"/>
  <c r="K482" i="1"/>
  <c r="J160" i="1"/>
  <c r="J159" i="1"/>
  <c r="J158" i="1"/>
  <c r="J157" i="1"/>
  <c r="J156" i="1"/>
  <c r="J155" i="1"/>
  <c r="J98" i="1"/>
  <c r="J5" i="1"/>
  <c r="K489" i="1" l="1"/>
  <c r="K481" i="1"/>
  <c r="K627" i="1"/>
  <c r="P391" i="1"/>
  <c r="P377" i="1"/>
  <c r="O98" i="1"/>
  <c r="O5" i="1"/>
  <c r="U391" i="1" l="1"/>
  <c r="U377" i="1"/>
  <c r="AG605" i="1"/>
  <c r="AB605" i="1" s="1"/>
  <c r="W605" i="1" s="1"/>
  <c r="R605" i="1" s="1"/>
  <c r="M605" i="1" s="1"/>
  <c r="AG604" i="1"/>
  <c r="AB604" i="1" s="1"/>
  <c r="W604" i="1" s="1"/>
  <c r="R604" i="1" s="1"/>
  <c r="M604" i="1" s="1"/>
  <c r="AG603" i="1"/>
  <c r="AB603" i="1" s="1"/>
  <c r="W603" i="1" s="1"/>
  <c r="R603" i="1" s="1"/>
  <c r="M603" i="1" s="1"/>
  <c r="AB556" i="1"/>
  <c r="W556" i="1" s="1"/>
  <c r="R556" i="1" s="1"/>
  <c r="M556" i="1" s="1"/>
  <c r="AB590" i="1"/>
  <c r="W590" i="1" s="1"/>
  <c r="R590" i="1" s="1"/>
  <c r="M590" i="1" s="1"/>
  <c r="AB600" i="1"/>
  <c r="W600" i="1" s="1"/>
  <c r="R600" i="1" s="1"/>
  <c r="M600" i="1" s="1"/>
  <c r="AB606" i="1"/>
  <c r="W606" i="1" s="1"/>
  <c r="R606" i="1" s="1"/>
  <c r="M606" i="1" s="1"/>
  <c r="AB620" i="1"/>
  <c r="W620" i="1" s="1"/>
  <c r="R620" i="1" s="1"/>
  <c r="M620" i="1" s="1"/>
  <c r="AB621" i="1"/>
  <c r="W621" i="1" s="1"/>
  <c r="R621" i="1" s="1"/>
  <c r="M621" i="1" s="1"/>
  <c r="AB622" i="1"/>
  <c r="W622" i="1" s="1"/>
  <c r="R622" i="1" s="1"/>
  <c r="M622" i="1" s="1"/>
  <c r="AB624" i="1"/>
  <c r="W624" i="1" s="1"/>
  <c r="R624" i="1" s="1"/>
  <c r="M624" i="1" s="1"/>
  <c r="AB627" i="1"/>
  <c r="W627" i="1" s="1"/>
  <c r="R627" i="1" s="1"/>
  <c r="M627" i="1" s="1"/>
  <c r="AB631" i="1"/>
  <c r="W631" i="1" s="1"/>
  <c r="R631" i="1" s="1"/>
  <c r="M631" i="1" s="1"/>
  <c r="AB632" i="1"/>
  <c r="W632" i="1" s="1"/>
  <c r="R632" i="1" s="1"/>
  <c r="M632" i="1" s="1"/>
  <c r="AB633" i="1"/>
  <c r="W633" i="1" s="1"/>
  <c r="R633" i="1" s="1"/>
  <c r="M633" i="1" s="1"/>
  <c r="AB635" i="1"/>
  <c r="AB638" i="1"/>
  <c r="W638" i="1" s="1"/>
  <c r="R638" i="1" s="1"/>
  <c r="M638" i="1" s="1"/>
  <c r="AB643" i="1"/>
  <c r="W643" i="1" s="1"/>
  <c r="R643" i="1" s="1"/>
  <c r="M643" i="1" s="1"/>
  <c r="AB648" i="1"/>
  <c r="W648" i="1" s="1"/>
  <c r="R648" i="1" s="1"/>
  <c r="M648" i="1" s="1"/>
  <c r="AB653" i="1"/>
  <c r="W653" i="1" s="1"/>
  <c r="R653" i="1" s="1"/>
  <c r="M653" i="1" s="1"/>
  <c r="AB376" i="1"/>
  <c r="W376" i="1" s="1"/>
  <c r="R376" i="1" s="1"/>
  <c r="M376" i="1" s="1"/>
  <c r="AB377" i="1"/>
  <c r="W377" i="1" s="1"/>
  <c r="R377" i="1" s="1"/>
  <c r="M377" i="1" s="1"/>
  <c r="AB379" i="1"/>
  <c r="W379" i="1" s="1"/>
  <c r="R379" i="1" s="1"/>
  <c r="M379" i="1" s="1"/>
  <c r="AB380" i="1"/>
  <c r="W380" i="1" s="1"/>
  <c r="R380" i="1" s="1"/>
  <c r="M380" i="1" s="1"/>
  <c r="AB381" i="1"/>
  <c r="W381" i="1" s="1"/>
  <c r="R381" i="1" s="1"/>
  <c r="M381" i="1" s="1"/>
  <c r="AB382" i="1"/>
  <c r="W382" i="1" s="1"/>
  <c r="R382" i="1" s="1"/>
  <c r="M382" i="1" s="1"/>
  <c r="AB384" i="1"/>
  <c r="W384" i="1" s="1"/>
  <c r="R384" i="1" s="1"/>
  <c r="M384" i="1" s="1"/>
  <c r="AB385" i="1"/>
  <c r="W385" i="1" s="1"/>
  <c r="R385" i="1" s="1"/>
  <c r="M385" i="1" s="1"/>
  <c r="AB386" i="1"/>
  <c r="W386" i="1" s="1"/>
  <c r="R386" i="1" s="1"/>
  <c r="M386" i="1" s="1"/>
  <c r="AB387" i="1"/>
  <c r="W387" i="1" s="1"/>
  <c r="R387" i="1" s="1"/>
  <c r="M387" i="1" s="1"/>
  <c r="AB389" i="1"/>
  <c r="W389" i="1" s="1"/>
  <c r="R389" i="1" s="1"/>
  <c r="M389" i="1" s="1"/>
  <c r="AB390" i="1"/>
  <c r="W390" i="1" s="1"/>
  <c r="R390" i="1" s="1"/>
  <c r="M390" i="1" s="1"/>
  <c r="AB391" i="1"/>
  <c r="W391" i="1" s="1"/>
  <c r="R391" i="1" s="1"/>
  <c r="M391" i="1" s="1"/>
  <c r="AB393" i="1"/>
  <c r="W393" i="1" s="1"/>
  <c r="R393" i="1" s="1"/>
  <c r="M393" i="1" s="1"/>
  <c r="AB394" i="1"/>
  <c r="W394" i="1" s="1"/>
  <c r="R394" i="1" s="1"/>
  <c r="M394" i="1" s="1"/>
  <c r="AB395" i="1"/>
  <c r="W395" i="1" s="1"/>
  <c r="R395" i="1" s="1"/>
  <c r="M395" i="1" s="1"/>
  <c r="AB396" i="1"/>
  <c r="W396" i="1" s="1"/>
  <c r="R396" i="1" s="1"/>
  <c r="M396" i="1" s="1"/>
  <c r="AB398" i="1"/>
  <c r="W398" i="1" s="1"/>
  <c r="R398" i="1" s="1"/>
  <c r="M398" i="1" s="1"/>
  <c r="AB399" i="1"/>
  <c r="W399" i="1" s="1"/>
  <c r="R399" i="1" s="1"/>
  <c r="M399" i="1" s="1"/>
  <c r="AB403" i="1"/>
  <c r="W403" i="1" s="1"/>
  <c r="R403" i="1" s="1"/>
  <c r="M403" i="1" s="1"/>
  <c r="AB405" i="1"/>
  <c r="W405" i="1" s="1"/>
  <c r="R405" i="1" s="1"/>
  <c r="M405" i="1" s="1"/>
  <c r="AB406" i="1"/>
  <c r="W406" i="1" s="1"/>
  <c r="R406" i="1" s="1"/>
  <c r="M406" i="1" s="1"/>
  <c r="AB407" i="1"/>
  <c r="W407" i="1" s="1"/>
  <c r="R407" i="1" s="1"/>
  <c r="M407" i="1" s="1"/>
  <c r="AB409" i="1"/>
  <c r="W409" i="1" s="1"/>
  <c r="R409" i="1" s="1"/>
  <c r="M409" i="1" s="1"/>
  <c r="AB410" i="1"/>
  <c r="W410" i="1" s="1"/>
  <c r="R410" i="1" s="1"/>
  <c r="M410" i="1" s="1"/>
  <c r="AB412" i="1"/>
  <c r="W412" i="1" s="1"/>
  <c r="R412" i="1" s="1"/>
  <c r="M412" i="1" s="1"/>
  <c r="AB414" i="1"/>
  <c r="W414" i="1" s="1"/>
  <c r="R414" i="1" s="1"/>
  <c r="M414" i="1" s="1"/>
  <c r="AB415" i="1"/>
  <c r="W415" i="1" s="1"/>
  <c r="R415" i="1" s="1"/>
  <c r="M415" i="1" s="1"/>
  <c r="AB419" i="1"/>
  <c r="W419" i="1" s="1"/>
  <c r="R419" i="1" s="1"/>
  <c r="M419" i="1" s="1"/>
  <c r="AB423" i="1"/>
  <c r="W423" i="1" s="1"/>
  <c r="R423" i="1" s="1"/>
  <c r="M423" i="1" s="1"/>
  <c r="AB425" i="1"/>
  <c r="W425" i="1" s="1"/>
  <c r="R425" i="1" s="1"/>
  <c r="M425" i="1" s="1"/>
  <c r="AB464" i="1"/>
  <c r="W464" i="1" s="1"/>
  <c r="R464" i="1" s="1"/>
  <c r="M464" i="1" s="1"/>
  <c r="AB481" i="1"/>
  <c r="W481" i="1" s="1"/>
  <c r="R481" i="1" s="1"/>
  <c r="M481" i="1" s="1"/>
  <c r="AB483" i="1"/>
  <c r="W483" i="1" s="1"/>
  <c r="R483" i="1" s="1"/>
  <c r="M483" i="1" s="1"/>
  <c r="AB484" i="1"/>
  <c r="W484" i="1" s="1"/>
  <c r="R484" i="1" s="1"/>
  <c r="M484" i="1" s="1"/>
  <c r="AB486" i="1"/>
  <c r="W486" i="1" s="1"/>
  <c r="R486" i="1" s="1"/>
  <c r="M486" i="1" s="1"/>
  <c r="AB487" i="1"/>
  <c r="W487" i="1" s="1"/>
  <c r="R487" i="1" s="1"/>
  <c r="M487" i="1" s="1"/>
  <c r="AB489" i="1"/>
  <c r="W489" i="1" s="1"/>
  <c r="R489" i="1" s="1"/>
  <c r="M489" i="1" s="1"/>
  <c r="AB504" i="1"/>
  <c r="W504" i="1" s="1"/>
  <c r="R504" i="1" s="1"/>
  <c r="M504" i="1" s="1"/>
  <c r="AB506" i="1"/>
  <c r="W506" i="1" s="1"/>
  <c r="R506" i="1" s="1"/>
  <c r="M506" i="1" s="1"/>
  <c r="AB508" i="1"/>
  <c r="W508" i="1" s="1"/>
  <c r="R508" i="1" s="1"/>
  <c r="M508" i="1" s="1"/>
  <c r="AB509" i="1"/>
  <c r="W509" i="1" s="1"/>
  <c r="R509" i="1" s="1"/>
  <c r="M509" i="1" s="1"/>
  <c r="AB336" i="1"/>
  <c r="W336" i="1" s="1"/>
  <c r="R336" i="1" s="1"/>
  <c r="M336" i="1" s="1"/>
  <c r="AB339" i="1"/>
  <c r="W339" i="1" s="1"/>
  <c r="R339" i="1" s="1"/>
  <c r="M339" i="1" s="1"/>
  <c r="AB342" i="1"/>
  <c r="W342" i="1" s="1"/>
  <c r="R342" i="1" s="1"/>
  <c r="M342" i="1" s="1"/>
  <c r="AB345" i="1"/>
  <c r="W345" i="1" s="1"/>
  <c r="R345" i="1" s="1"/>
  <c r="M345" i="1" s="1"/>
  <c r="AB347" i="1"/>
  <c r="W347" i="1" s="1"/>
  <c r="R347" i="1" s="1"/>
  <c r="M347" i="1" s="1"/>
  <c r="AB349" i="1"/>
  <c r="W349" i="1" s="1"/>
  <c r="R349" i="1" s="1"/>
  <c r="M349" i="1" s="1"/>
  <c r="AB351" i="1"/>
  <c r="W351" i="1" s="1"/>
  <c r="R351" i="1" s="1"/>
  <c r="M351" i="1" s="1"/>
  <c r="AB352" i="1"/>
  <c r="W352" i="1" s="1"/>
  <c r="R352" i="1" s="1"/>
  <c r="M352" i="1" s="1"/>
  <c r="AB353" i="1"/>
  <c r="W353" i="1" s="1"/>
  <c r="R353" i="1" s="1"/>
  <c r="M353" i="1" s="1"/>
  <c r="AB355" i="1"/>
  <c r="W355" i="1" s="1"/>
  <c r="R355" i="1" s="1"/>
  <c r="M355" i="1" s="1"/>
  <c r="AB356" i="1"/>
  <c r="W356" i="1" s="1"/>
  <c r="R356" i="1" s="1"/>
  <c r="M356" i="1" s="1"/>
  <c r="AB358" i="1"/>
  <c r="W358" i="1" s="1"/>
  <c r="R358" i="1" s="1"/>
  <c r="M358" i="1" s="1"/>
  <c r="AB359" i="1"/>
  <c r="W359" i="1" s="1"/>
  <c r="R359" i="1" s="1"/>
  <c r="M359" i="1" s="1"/>
  <c r="AB360" i="1"/>
  <c r="W360" i="1" s="1"/>
  <c r="R360" i="1" s="1"/>
  <c r="M360" i="1" s="1"/>
  <c r="AB362" i="1"/>
  <c r="W362" i="1" s="1"/>
  <c r="R362" i="1" s="1"/>
  <c r="M362" i="1" s="1"/>
  <c r="AB363" i="1"/>
  <c r="W363" i="1" s="1"/>
  <c r="R363" i="1" s="1"/>
  <c r="M363" i="1" s="1"/>
  <c r="AB364" i="1"/>
  <c r="W364" i="1" s="1"/>
  <c r="R364" i="1" s="1"/>
  <c r="M364" i="1" s="1"/>
  <c r="AB366" i="1"/>
  <c r="W366" i="1" s="1"/>
  <c r="R366" i="1" s="1"/>
  <c r="M366" i="1" s="1"/>
  <c r="AB234" i="1"/>
  <c r="W234" i="1" s="1"/>
  <c r="R234" i="1" s="1"/>
  <c r="M234" i="1" s="1"/>
  <c r="AB315" i="1"/>
  <c r="W315" i="1" s="1"/>
  <c r="R315" i="1" s="1"/>
  <c r="M315" i="1" s="1"/>
  <c r="AB161" i="1"/>
  <c r="W161" i="1" s="1"/>
  <c r="R161" i="1" s="1"/>
  <c r="M161" i="1" s="1"/>
  <c r="W635" i="1"/>
  <c r="R635" i="1" s="1"/>
  <c r="M635" i="1" s="1"/>
  <c r="W110" i="1"/>
  <c r="R110" i="1" s="1"/>
  <c r="M110" i="1" s="1"/>
  <c r="W112" i="1"/>
  <c r="R112" i="1" s="1"/>
  <c r="M112" i="1" s="1"/>
  <c r="W113" i="1"/>
  <c r="R113" i="1" s="1"/>
  <c r="M113" i="1" s="1"/>
  <c r="W114" i="1"/>
  <c r="R114" i="1" s="1"/>
  <c r="M114" i="1" s="1"/>
  <c r="AB153" i="1"/>
  <c r="W153" i="1" s="1"/>
  <c r="R153" i="1" s="1"/>
  <c r="M153" i="1" s="1"/>
  <c r="AB151" i="1"/>
  <c r="W151" i="1" s="1"/>
  <c r="R151" i="1" s="1"/>
  <c r="M151" i="1" s="1"/>
  <c r="AB150" i="1"/>
  <c r="W150" i="1" s="1"/>
  <c r="R150" i="1" s="1"/>
  <c r="M150" i="1" s="1"/>
  <c r="AB149" i="1"/>
  <c r="W149" i="1" s="1"/>
  <c r="R149" i="1" s="1"/>
  <c r="M149" i="1" s="1"/>
  <c r="AB148" i="1"/>
  <c r="W148" i="1" s="1"/>
  <c r="R148" i="1" s="1"/>
  <c r="M148" i="1" s="1"/>
  <c r="AB147" i="1"/>
  <c r="W147" i="1" s="1"/>
  <c r="R147" i="1" s="1"/>
  <c r="M147" i="1" s="1"/>
  <c r="AB146" i="1"/>
  <c r="W146" i="1" s="1"/>
  <c r="R146" i="1" s="1"/>
  <c r="M146" i="1" s="1"/>
  <c r="AB144" i="1"/>
  <c r="W144" i="1" s="1"/>
  <c r="R144" i="1" s="1"/>
  <c r="M144" i="1" s="1"/>
  <c r="AB142" i="1"/>
  <c r="W142" i="1" s="1"/>
  <c r="R142" i="1" s="1"/>
  <c r="M142" i="1" s="1"/>
  <c r="AB141" i="1"/>
  <c r="W141" i="1" s="1"/>
  <c r="R141" i="1" s="1"/>
  <c r="M141" i="1" s="1"/>
  <c r="AB139" i="1"/>
  <c r="W139" i="1" s="1"/>
  <c r="R139" i="1" s="1"/>
  <c r="M139" i="1" s="1"/>
  <c r="AB138" i="1"/>
  <c r="W138" i="1" s="1"/>
  <c r="R138" i="1" s="1"/>
  <c r="M138" i="1" s="1"/>
  <c r="AB136" i="1"/>
  <c r="W136" i="1" s="1"/>
  <c r="R136" i="1" s="1"/>
  <c r="M136" i="1" s="1"/>
  <c r="AB135" i="1"/>
  <c r="W135" i="1" s="1"/>
  <c r="R135" i="1" s="1"/>
  <c r="M135" i="1" s="1"/>
  <c r="AB134" i="1"/>
  <c r="W134" i="1" s="1"/>
  <c r="R134" i="1" s="1"/>
  <c r="M134" i="1" s="1"/>
  <c r="AB133" i="1"/>
  <c r="W133" i="1" s="1"/>
  <c r="R133" i="1" s="1"/>
  <c r="M133" i="1" s="1"/>
  <c r="AB132" i="1"/>
  <c r="W132" i="1" s="1"/>
  <c r="R132" i="1" s="1"/>
  <c r="M132" i="1" s="1"/>
  <c r="AB130" i="1"/>
  <c r="W130" i="1" s="1"/>
  <c r="R130" i="1" s="1"/>
  <c r="M130" i="1" s="1"/>
  <c r="AB129" i="1"/>
  <c r="W129" i="1" s="1"/>
  <c r="R129" i="1" s="1"/>
  <c r="M129" i="1" s="1"/>
  <c r="AB128" i="1"/>
  <c r="W128" i="1" s="1"/>
  <c r="R128" i="1" s="1"/>
  <c r="M128" i="1" s="1"/>
  <c r="AB127" i="1"/>
  <c r="W127" i="1" s="1"/>
  <c r="R127" i="1" s="1"/>
  <c r="M127" i="1" s="1"/>
  <c r="AB126" i="1"/>
  <c r="W126" i="1" s="1"/>
  <c r="R126" i="1" s="1"/>
  <c r="M126" i="1" s="1"/>
  <c r="AB124" i="1"/>
  <c r="W124" i="1" s="1"/>
  <c r="R124" i="1" s="1"/>
  <c r="M124" i="1" s="1"/>
  <c r="AB123" i="1"/>
  <c r="W123" i="1" s="1"/>
  <c r="R123" i="1" s="1"/>
  <c r="M123" i="1" s="1"/>
  <c r="AB122" i="1"/>
  <c r="W122" i="1" s="1"/>
  <c r="R122" i="1" s="1"/>
  <c r="M122" i="1" s="1"/>
  <c r="AB121" i="1"/>
  <c r="W121" i="1" s="1"/>
  <c r="R121" i="1" s="1"/>
  <c r="M121" i="1" s="1"/>
  <c r="AB120" i="1"/>
  <c r="W120" i="1" s="1"/>
  <c r="R120" i="1" s="1"/>
  <c r="M120" i="1" s="1"/>
  <c r="AB119" i="1"/>
  <c r="W119" i="1" s="1"/>
  <c r="R119" i="1" s="1"/>
  <c r="M119" i="1" s="1"/>
  <c r="AB117" i="1"/>
  <c r="W117" i="1" s="1"/>
  <c r="R117" i="1" s="1"/>
  <c r="M117" i="1" s="1"/>
  <c r="AB116" i="1"/>
  <c r="W116" i="1" s="1"/>
  <c r="R116" i="1" s="1"/>
  <c r="M116" i="1" s="1"/>
  <c r="AB115" i="1"/>
  <c r="W115" i="1" s="1"/>
  <c r="R115" i="1" s="1"/>
  <c r="M115" i="1" s="1"/>
  <c r="AB114" i="1"/>
  <c r="AB113" i="1"/>
  <c r="AB112" i="1"/>
  <c r="AB110" i="1"/>
  <c r="V82" i="1"/>
  <c r="Q82" i="1" s="1"/>
  <c r="L82" i="1" s="1"/>
  <c r="V83" i="1"/>
  <c r="Q83" i="1" s="1"/>
  <c r="L83" i="1" s="1"/>
  <c r="V157" i="1"/>
  <c r="Q157" i="1" s="1"/>
  <c r="L157" i="1" s="1"/>
  <c r="V158" i="1"/>
  <c r="Q158" i="1" s="1"/>
  <c r="L158" i="1" s="1"/>
  <c r="V382" i="1"/>
  <c r="Q382" i="1" s="1"/>
  <c r="V494" i="1"/>
  <c r="V496" i="1"/>
  <c r="V497" i="1"/>
  <c r="V589" i="1"/>
  <c r="Q589" i="1" s="1"/>
  <c r="L589" i="1" s="1"/>
  <c r="V650" i="1"/>
  <c r="Q650" i="1" s="1"/>
  <c r="L650" i="1" s="1"/>
  <c r="V651" i="1"/>
  <c r="Q651" i="1" s="1"/>
  <c r="L651" i="1" s="1"/>
  <c r="AA155" i="1"/>
  <c r="V155" i="1" s="1"/>
  <c r="Q155" i="1" s="1"/>
  <c r="L155" i="1" s="1"/>
  <c r="AA156" i="1"/>
  <c r="V156" i="1" s="1"/>
  <c r="Q156" i="1" s="1"/>
  <c r="L156" i="1" s="1"/>
  <c r="AA157" i="1"/>
  <c r="AA158" i="1"/>
  <c r="AA159" i="1"/>
  <c r="V159" i="1" s="1"/>
  <c r="Q159" i="1" s="1"/>
  <c r="L159" i="1" s="1"/>
  <c r="AA160" i="1"/>
  <c r="V160" i="1" s="1"/>
  <c r="Q160" i="1" s="1"/>
  <c r="L160" i="1" s="1"/>
  <c r="AA231" i="1"/>
  <c r="V231" i="1" s="1"/>
  <c r="Q231" i="1" s="1"/>
  <c r="L231" i="1" s="1"/>
  <c r="AA232" i="1"/>
  <c r="V232" i="1" s="1"/>
  <c r="Q232" i="1" s="1"/>
  <c r="L232" i="1" s="1"/>
  <c r="AA233" i="1"/>
  <c r="V233" i="1" s="1"/>
  <c r="Q233" i="1" s="1"/>
  <c r="L233" i="1" s="1"/>
  <c r="AA236" i="1"/>
  <c r="AA238" i="1"/>
  <c r="AA239" i="1"/>
  <c r="AA241" i="1"/>
  <c r="AA242" i="1"/>
  <c r="AA243" i="1"/>
  <c r="AA245" i="1"/>
  <c r="AA246" i="1"/>
  <c r="AA247" i="1"/>
  <c r="AA248" i="1"/>
  <c r="AA249" i="1"/>
  <c r="AA250" i="1"/>
  <c r="AA251" i="1"/>
  <c r="AA252" i="1"/>
  <c r="AA254" i="1"/>
  <c r="AA255" i="1"/>
  <c r="AA256" i="1"/>
  <c r="AA257" i="1"/>
  <c r="AA258" i="1"/>
  <c r="AA259" i="1"/>
  <c r="AA260" i="1"/>
  <c r="AA261" i="1"/>
  <c r="AA262" i="1"/>
  <c r="AA263" i="1"/>
  <c r="AA265" i="1"/>
  <c r="AA266" i="1"/>
  <c r="AA267" i="1"/>
  <c r="AA268" i="1"/>
  <c r="AA269" i="1"/>
  <c r="AA270" i="1"/>
  <c r="AA271" i="1"/>
  <c r="AA272" i="1"/>
  <c r="AA273" i="1"/>
  <c r="AA274" i="1"/>
  <c r="AA276" i="1"/>
  <c r="AA277" i="1"/>
  <c r="AA278" i="1"/>
  <c r="AA279" i="1"/>
  <c r="AA280" i="1"/>
  <c r="AA281" i="1"/>
  <c r="AA282" i="1"/>
  <c r="AA283" i="1"/>
  <c r="AA284" i="1"/>
  <c r="AA285" i="1"/>
  <c r="AA287" i="1"/>
  <c r="AA288" i="1"/>
  <c r="AA289" i="1"/>
  <c r="AA291" i="1"/>
  <c r="AA292" i="1"/>
  <c r="AA293" i="1"/>
  <c r="AA295" i="1"/>
  <c r="AA296" i="1"/>
  <c r="AA298" i="1"/>
  <c r="AA299" i="1"/>
  <c r="AA301" i="1"/>
  <c r="AA302" i="1"/>
  <c r="AA304" i="1"/>
  <c r="AA305" i="1"/>
  <c r="AA307" i="1"/>
  <c r="AA308" i="1"/>
  <c r="AA310" i="1"/>
  <c r="V310" i="1" s="1"/>
  <c r="Q310" i="1" s="1"/>
  <c r="L310" i="1" s="1"/>
  <c r="AA311" i="1"/>
  <c r="V311" i="1" s="1"/>
  <c r="Q311" i="1" s="1"/>
  <c r="L311" i="1" s="1"/>
  <c r="AA312" i="1"/>
  <c r="V312" i="1" s="1"/>
  <c r="Q312" i="1" s="1"/>
  <c r="L312" i="1" s="1"/>
  <c r="AA313" i="1"/>
  <c r="V313" i="1" s="1"/>
  <c r="Q313" i="1" s="1"/>
  <c r="L313" i="1" s="1"/>
  <c r="AA314" i="1"/>
  <c r="V314" i="1" s="1"/>
  <c r="Q314" i="1" s="1"/>
  <c r="L314" i="1" s="1"/>
  <c r="AA334" i="1"/>
  <c r="V334" i="1" s="1"/>
  <c r="Q334" i="1" s="1"/>
  <c r="L334" i="1" s="1"/>
  <c r="AA335" i="1"/>
  <c r="V335" i="1" s="1"/>
  <c r="Q335" i="1" s="1"/>
  <c r="L335" i="1" s="1"/>
  <c r="AA338" i="1"/>
  <c r="V338" i="1" s="1"/>
  <c r="Q338" i="1" s="1"/>
  <c r="L338" i="1" s="1"/>
  <c r="AA341" i="1"/>
  <c r="V341" i="1" s="1"/>
  <c r="Q341" i="1" s="1"/>
  <c r="L341" i="1" s="1"/>
  <c r="AA344" i="1"/>
  <c r="V344" i="1" s="1"/>
  <c r="Q344" i="1" s="1"/>
  <c r="L344" i="1" s="1"/>
  <c r="AA370" i="1"/>
  <c r="V370" i="1" s="1"/>
  <c r="Q370" i="1" s="1"/>
  <c r="L370" i="1" s="1"/>
  <c r="AA371" i="1"/>
  <c r="V371" i="1" s="1"/>
  <c r="Q371" i="1" s="1"/>
  <c r="L371" i="1" s="1"/>
  <c r="AA372" i="1"/>
  <c r="V372" i="1" s="1"/>
  <c r="Q372" i="1" s="1"/>
  <c r="L372" i="1" s="1"/>
  <c r="AA373" i="1"/>
  <c r="V373" i="1" s="1"/>
  <c r="Q373" i="1" s="1"/>
  <c r="L373" i="1" s="1"/>
  <c r="AA374" i="1"/>
  <c r="V374" i="1" s="1"/>
  <c r="Q374" i="1" s="1"/>
  <c r="L374" i="1" s="1"/>
  <c r="AA375" i="1"/>
  <c r="V375" i="1" s="1"/>
  <c r="Q375" i="1" s="1"/>
  <c r="L375" i="1" s="1"/>
  <c r="AA379" i="1"/>
  <c r="V379" i="1" s="1"/>
  <c r="Q379" i="1" s="1"/>
  <c r="AA380" i="1"/>
  <c r="V380" i="1" s="1"/>
  <c r="Q380" i="1" s="1"/>
  <c r="AA381" i="1"/>
  <c r="V381" i="1" s="1"/>
  <c r="Q381" i="1" s="1"/>
  <c r="AA382" i="1"/>
  <c r="AA384" i="1"/>
  <c r="V384" i="1" s="1"/>
  <c r="Q384" i="1" s="1"/>
  <c r="AA385" i="1"/>
  <c r="V385" i="1" s="1"/>
  <c r="Q385" i="1" s="1"/>
  <c r="AA386" i="1"/>
  <c r="V386" i="1" s="1"/>
  <c r="Q386" i="1" s="1"/>
  <c r="AA387" i="1"/>
  <c r="V387" i="1" s="1"/>
  <c r="Q387" i="1" s="1"/>
  <c r="AA389" i="1"/>
  <c r="V389" i="1" s="1"/>
  <c r="Q389" i="1" s="1"/>
  <c r="L389" i="1" s="1"/>
  <c r="AA390" i="1"/>
  <c r="V390" i="1" s="1"/>
  <c r="Q390" i="1" s="1"/>
  <c r="L390" i="1" s="1"/>
  <c r="AA393" i="1"/>
  <c r="V393" i="1" s="1"/>
  <c r="Q393" i="1" s="1"/>
  <c r="AA394" i="1"/>
  <c r="V394" i="1" s="1"/>
  <c r="Q394" i="1" s="1"/>
  <c r="AA395" i="1"/>
  <c r="V395" i="1" s="1"/>
  <c r="Q395" i="1" s="1"/>
  <c r="AA396" i="1"/>
  <c r="V396" i="1" s="1"/>
  <c r="Q396" i="1" s="1"/>
  <c r="AA398" i="1"/>
  <c r="V398" i="1" s="1"/>
  <c r="Q398" i="1" s="1"/>
  <c r="AA399" i="1"/>
  <c r="V399" i="1" s="1"/>
  <c r="Q399" i="1" s="1"/>
  <c r="AA405" i="1"/>
  <c r="AA406" i="1"/>
  <c r="AA407" i="1"/>
  <c r="AA409" i="1"/>
  <c r="AA410" i="1"/>
  <c r="AA414" i="1"/>
  <c r="AA415" i="1"/>
  <c r="AA463" i="1"/>
  <c r="V463" i="1" s="1"/>
  <c r="Q463" i="1" s="1"/>
  <c r="L463" i="1" s="1"/>
  <c r="AA491" i="1"/>
  <c r="V491" i="1" s="1"/>
  <c r="AA492" i="1"/>
  <c r="V492" i="1" s="1"/>
  <c r="AA493" i="1"/>
  <c r="V493" i="1" s="1"/>
  <c r="AA494" i="1"/>
  <c r="AA496" i="1"/>
  <c r="AA497" i="1"/>
  <c r="AA498" i="1"/>
  <c r="V498" i="1" s="1"/>
  <c r="AA500" i="1"/>
  <c r="V500" i="1" s="1"/>
  <c r="Q500" i="1" s="1"/>
  <c r="L500" i="1" s="1"/>
  <c r="AA501" i="1"/>
  <c r="V501" i="1" s="1"/>
  <c r="Q501" i="1" s="1"/>
  <c r="L501" i="1" s="1"/>
  <c r="AA502" i="1"/>
  <c r="V502" i="1" s="1"/>
  <c r="Q502" i="1" s="1"/>
  <c r="L502" i="1" s="1"/>
  <c r="AA503" i="1"/>
  <c r="V503" i="1" s="1"/>
  <c r="Q503" i="1" s="1"/>
  <c r="L503" i="1" s="1"/>
  <c r="AA554" i="1"/>
  <c r="V554" i="1" s="1"/>
  <c r="Q554" i="1" s="1"/>
  <c r="L554" i="1" s="1"/>
  <c r="AA555" i="1"/>
  <c r="V555" i="1" s="1"/>
  <c r="Q555" i="1" s="1"/>
  <c r="L555" i="1" s="1"/>
  <c r="AA588" i="1"/>
  <c r="V588" i="1" s="1"/>
  <c r="Q588" i="1" s="1"/>
  <c r="L588" i="1" s="1"/>
  <c r="AA589" i="1"/>
  <c r="AA592" i="1"/>
  <c r="AA593" i="1"/>
  <c r="AA595" i="1"/>
  <c r="AA596" i="1"/>
  <c r="AA598" i="1"/>
  <c r="V598" i="1" s="1"/>
  <c r="Q598" i="1" s="1"/>
  <c r="L598" i="1" s="1"/>
  <c r="AA599" i="1"/>
  <c r="V599" i="1" s="1"/>
  <c r="Q599" i="1" s="1"/>
  <c r="L599" i="1" s="1"/>
  <c r="AA606" i="1"/>
  <c r="AA614" i="1"/>
  <c r="AA616" i="1"/>
  <c r="AA618" i="1"/>
  <c r="AA626" i="1"/>
  <c r="V626" i="1" s="1"/>
  <c r="Q626" i="1" s="1"/>
  <c r="L626" i="1" s="1"/>
  <c r="AA650" i="1"/>
  <c r="AA651" i="1"/>
  <c r="AA652" i="1"/>
  <c r="V652" i="1" s="1"/>
  <c r="Q652" i="1" s="1"/>
  <c r="L652" i="1" s="1"/>
  <c r="AA655" i="1"/>
  <c r="AA82" i="1"/>
  <c r="AA83" i="1"/>
  <c r="AA84" i="1"/>
  <c r="V84" i="1" s="1"/>
  <c r="Q84" i="1" s="1"/>
  <c r="L84" i="1" s="1"/>
  <c r="AA5" i="1"/>
  <c r="V5" i="1" s="1"/>
  <c r="Q5" i="1" s="1"/>
  <c r="L5" i="1" s="1"/>
  <c r="AG88" i="1"/>
  <c r="U649" i="1"/>
  <c r="U648" i="1" s="1"/>
  <c r="U647" i="1"/>
  <c r="U646" i="1"/>
  <c r="U645" i="1"/>
  <c r="U644" i="1"/>
  <c r="U642" i="1"/>
  <c r="U641" i="1"/>
  <c r="U640" i="1"/>
  <c r="U639" i="1"/>
  <c r="U637" i="1"/>
  <c r="U636" i="1"/>
  <c r="U634" i="1"/>
  <c r="U633" i="1"/>
  <c r="U632" i="1"/>
  <c r="U631" i="1"/>
  <c r="U630" i="1"/>
  <c r="U629" i="1"/>
  <c r="U628" i="1"/>
  <c r="U506" i="1"/>
  <c r="U504" i="1"/>
  <c r="U489" i="1"/>
  <c r="U488" i="1"/>
  <c r="U487" i="1"/>
  <c r="U486" i="1"/>
  <c r="U485" i="1"/>
  <c r="U484" i="1"/>
  <c r="U483" i="1"/>
  <c r="U482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106" i="1"/>
  <c r="U105" i="1"/>
  <c r="T98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T5" i="1"/>
  <c r="U481" i="1" l="1"/>
  <c r="U643" i="1"/>
  <c r="U315" i="1"/>
  <c r="V606" i="1"/>
  <c r="Q606" i="1" s="1"/>
  <c r="L606" i="1" s="1"/>
  <c r="U6" i="1"/>
  <c r="U627" i="1"/>
  <c r="U635" i="1"/>
  <c r="U638" i="1"/>
  <c r="AB100" i="1"/>
  <c r="W100" i="1" s="1"/>
  <c r="R100" i="1" s="1"/>
  <c r="M100" i="1" s="1"/>
  <c r="AB93" i="1"/>
  <c r="W93" i="1" s="1"/>
  <c r="R93" i="1" s="1"/>
  <c r="M93" i="1" s="1"/>
  <c r="AB92" i="1"/>
  <c r="W92" i="1" s="1"/>
  <c r="R92" i="1" s="1"/>
  <c r="M92" i="1" s="1"/>
  <c r="AB91" i="1"/>
  <c r="W91" i="1" s="1"/>
  <c r="R91" i="1" s="1"/>
  <c r="M91" i="1" s="1"/>
  <c r="AB89" i="1"/>
  <c r="W89" i="1" s="1"/>
  <c r="R89" i="1" s="1"/>
  <c r="M89" i="1" s="1"/>
  <c r="AB87" i="1"/>
  <c r="W87" i="1" s="1"/>
  <c r="R87" i="1" s="1"/>
  <c r="M87" i="1" s="1"/>
  <c r="AB24" i="1"/>
  <c r="W24" i="1" s="1"/>
  <c r="R24" i="1" s="1"/>
  <c r="M24" i="1" s="1"/>
  <c r="AB23" i="1"/>
  <c r="W23" i="1" s="1"/>
  <c r="R23" i="1" s="1"/>
  <c r="M23" i="1" s="1"/>
  <c r="AB22" i="1"/>
  <c r="W22" i="1" s="1"/>
  <c r="R22" i="1" s="1"/>
  <c r="M22" i="1" s="1"/>
  <c r="AB8" i="1"/>
  <c r="W8" i="1" s="1"/>
  <c r="R8" i="1" s="1"/>
  <c r="M8" i="1" s="1"/>
  <c r="Y652" i="1"/>
  <c r="AB652" i="1" s="1"/>
  <c r="W652" i="1" s="1"/>
  <c r="R652" i="1" s="1"/>
  <c r="M652" i="1" s="1"/>
  <c r="Y651" i="1"/>
  <c r="AB651" i="1" s="1"/>
  <c r="W651" i="1" s="1"/>
  <c r="R651" i="1" s="1"/>
  <c r="M651" i="1" s="1"/>
  <c r="Y650" i="1"/>
  <c r="AB650" i="1" s="1"/>
  <c r="W650" i="1" s="1"/>
  <c r="R650" i="1" s="1"/>
  <c r="M650" i="1" s="1"/>
  <c r="W626" i="1"/>
  <c r="R626" i="1" s="1"/>
  <c r="M626" i="1" s="1"/>
  <c r="Z625" i="1"/>
  <c r="Y623" i="1"/>
  <c r="AB623" i="1" s="1"/>
  <c r="W623" i="1" s="1"/>
  <c r="R623" i="1" s="1"/>
  <c r="M623" i="1" s="1"/>
  <c r="AB618" i="1"/>
  <c r="W618" i="1" s="1"/>
  <c r="R618" i="1" s="1"/>
  <c r="M618" i="1" s="1"/>
  <c r="Z617" i="1"/>
  <c r="AB616" i="1"/>
  <c r="W616" i="1" s="1"/>
  <c r="R616" i="1" s="1"/>
  <c r="M616" i="1" s="1"/>
  <c r="Z615" i="1"/>
  <c r="AB614" i="1"/>
  <c r="W614" i="1" s="1"/>
  <c r="R614" i="1" s="1"/>
  <c r="M614" i="1" s="1"/>
  <c r="AB612" i="1"/>
  <c r="W612" i="1" s="1"/>
  <c r="R612" i="1" s="1"/>
  <c r="M612" i="1" s="1"/>
  <c r="Y610" i="1"/>
  <c r="AB610" i="1" s="1"/>
  <c r="W610" i="1" s="1"/>
  <c r="R610" i="1" s="1"/>
  <c r="M610" i="1" s="1"/>
  <c r="Y609" i="1"/>
  <c r="AB609" i="1" s="1"/>
  <c r="W609" i="1" s="1"/>
  <c r="R609" i="1" s="1"/>
  <c r="M609" i="1" s="1"/>
  <c r="Y608" i="1"/>
  <c r="AB608" i="1" s="1"/>
  <c r="W608" i="1" s="1"/>
  <c r="R608" i="1" s="1"/>
  <c r="M608" i="1" s="1"/>
  <c r="AB599" i="1"/>
  <c r="W599" i="1" s="1"/>
  <c r="R599" i="1" s="1"/>
  <c r="M599" i="1" s="1"/>
  <c r="AB598" i="1"/>
  <c r="W598" i="1" s="1"/>
  <c r="R598" i="1" s="1"/>
  <c r="M598" i="1" s="1"/>
  <c r="Z597" i="1"/>
  <c r="AB596" i="1"/>
  <c r="W596" i="1" s="1"/>
  <c r="R596" i="1" s="1"/>
  <c r="M596" i="1" s="1"/>
  <c r="AB595" i="1"/>
  <c r="W595" i="1" s="1"/>
  <c r="R595" i="1" s="1"/>
  <c r="M595" i="1" s="1"/>
  <c r="Z594" i="1"/>
  <c r="AB593" i="1"/>
  <c r="W593" i="1" s="1"/>
  <c r="R593" i="1" s="1"/>
  <c r="M593" i="1" s="1"/>
  <c r="AB592" i="1"/>
  <c r="W592" i="1" s="1"/>
  <c r="R592" i="1" s="1"/>
  <c r="M592" i="1" s="1"/>
  <c r="Z591" i="1"/>
  <c r="AB589" i="1"/>
  <c r="W589" i="1" s="1"/>
  <c r="R589" i="1" s="1"/>
  <c r="M589" i="1" s="1"/>
  <c r="AB588" i="1"/>
  <c r="W588" i="1" s="1"/>
  <c r="R588" i="1" s="1"/>
  <c r="M588" i="1" s="1"/>
  <c r="AB586" i="1"/>
  <c r="W586" i="1" s="1"/>
  <c r="R586" i="1" s="1"/>
  <c r="M586" i="1" s="1"/>
  <c r="AB585" i="1"/>
  <c r="W585" i="1" s="1"/>
  <c r="R585" i="1" s="1"/>
  <c r="M585" i="1" s="1"/>
  <c r="AB583" i="1"/>
  <c r="W583" i="1" s="1"/>
  <c r="R583" i="1" s="1"/>
  <c r="M583" i="1" s="1"/>
  <c r="AB582" i="1"/>
  <c r="W582" i="1" s="1"/>
  <c r="R582" i="1" s="1"/>
  <c r="M582" i="1" s="1"/>
  <c r="AB580" i="1"/>
  <c r="W580" i="1" s="1"/>
  <c r="R580" i="1" s="1"/>
  <c r="M580" i="1" s="1"/>
  <c r="AB579" i="1"/>
  <c r="W579" i="1" s="1"/>
  <c r="R579" i="1" s="1"/>
  <c r="M579" i="1" s="1"/>
  <c r="Y577" i="1"/>
  <c r="AB577" i="1" s="1"/>
  <c r="W577" i="1" s="1"/>
  <c r="R577" i="1" s="1"/>
  <c r="M577" i="1" s="1"/>
  <c r="Y576" i="1"/>
  <c r="AB576" i="1" s="1"/>
  <c r="W576" i="1" s="1"/>
  <c r="R576" i="1" s="1"/>
  <c r="M576" i="1" s="1"/>
  <c r="Y575" i="1"/>
  <c r="AB575" i="1" s="1"/>
  <c r="W575" i="1" s="1"/>
  <c r="R575" i="1" s="1"/>
  <c r="M575" i="1" s="1"/>
  <c r="Y574" i="1"/>
  <c r="AB574" i="1" s="1"/>
  <c r="W574" i="1" s="1"/>
  <c r="R574" i="1" s="1"/>
  <c r="M574" i="1" s="1"/>
  <c r="Y573" i="1"/>
  <c r="AB573" i="1" s="1"/>
  <c r="W573" i="1" s="1"/>
  <c r="R573" i="1" s="1"/>
  <c r="M573" i="1" s="1"/>
  <c r="AB571" i="1"/>
  <c r="W571" i="1" s="1"/>
  <c r="R571" i="1" s="1"/>
  <c r="M571" i="1" s="1"/>
  <c r="AB570" i="1"/>
  <c r="W570" i="1" s="1"/>
  <c r="R570" i="1" s="1"/>
  <c r="M570" i="1" s="1"/>
  <c r="AB568" i="1"/>
  <c r="W568" i="1" s="1"/>
  <c r="R568" i="1" s="1"/>
  <c r="M568" i="1" s="1"/>
  <c r="AB567" i="1"/>
  <c r="W567" i="1" s="1"/>
  <c r="R567" i="1" s="1"/>
  <c r="M567" i="1" s="1"/>
  <c r="AB565" i="1"/>
  <c r="W565" i="1" s="1"/>
  <c r="R565" i="1" s="1"/>
  <c r="M565" i="1" s="1"/>
  <c r="AB564" i="1"/>
  <c r="W564" i="1" s="1"/>
  <c r="R564" i="1" s="1"/>
  <c r="M564" i="1" s="1"/>
  <c r="AB562" i="1"/>
  <c r="W562" i="1" s="1"/>
  <c r="R562" i="1" s="1"/>
  <c r="M562" i="1" s="1"/>
  <c r="AB561" i="1"/>
  <c r="W561" i="1" s="1"/>
  <c r="R561" i="1" s="1"/>
  <c r="M561" i="1" s="1"/>
  <c r="AB559" i="1"/>
  <c r="W559" i="1" s="1"/>
  <c r="R559" i="1" s="1"/>
  <c r="M559" i="1" s="1"/>
  <c r="AB558" i="1"/>
  <c r="W558" i="1" s="1"/>
  <c r="R558" i="1" s="1"/>
  <c r="M558" i="1" s="1"/>
  <c r="AB555" i="1"/>
  <c r="W555" i="1" s="1"/>
  <c r="R555" i="1" s="1"/>
  <c r="M555" i="1" s="1"/>
  <c r="AB554" i="1"/>
  <c r="W554" i="1" s="1"/>
  <c r="R554" i="1" s="1"/>
  <c r="M554" i="1" s="1"/>
  <c r="AB552" i="1"/>
  <c r="W552" i="1" s="1"/>
  <c r="R552" i="1" s="1"/>
  <c r="M552" i="1" s="1"/>
  <c r="AB551" i="1"/>
  <c r="W551" i="1" s="1"/>
  <c r="R551" i="1" s="1"/>
  <c r="M551" i="1" s="1"/>
  <c r="AB549" i="1"/>
  <c r="W549" i="1" s="1"/>
  <c r="R549" i="1" s="1"/>
  <c r="M549" i="1" s="1"/>
  <c r="AB548" i="1"/>
  <c r="W548" i="1" s="1"/>
  <c r="R548" i="1" s="1"/>
  <c r="M548" i="1" s="1"/>
  <c r="AB546" i="1"/>
  <c r="W546" i="1" s="1"/>
  <c r="R546" i="1" s="1"/>
  <c r="M546" i="1" s="1"/>
  <c r="AB545" i="1"/>
  <c r="W545" i="1" s="1"/>
  <c r="R545" i="1" s="1"/>
  <c r="M545" i="1" s="1"/>
  <c r="AB543" i="1"/>
  <c r="W543" i="1" s="1"/>
  <c r="R543" i="1" s="1"/>
  <c r="M543" i="1" s="1"/>
  <c r="AB542" i="1"/>
  <c r="W542" i="1" s="1"/>
  <c r="R542" i="1" s="1"/>
  <c r="M542" i="1" s="1"/>
  <c r="AB541" i="1"/>
  <c r="W541" i="1" s="1"/>
  <c r="R541" i="1" s="1"/>
  <c r="M541" i="1" s="1"/>
  <c r="AB540" i="1"/>
  <c r="W540" i="1" s="1"/>
  <c r="R540" i="1" s="1"/>
  <c r="M540" i="1" s="1"/>
  <c r="AB539" i="1"/>
  <c r="W539" i="1" s="1"/>
  <c r="R539" i="1" s="1"/>
  <c r="M539" i="1" s="1"/>
  <c r="AB538" i="1"/>
  <c r="W538" i="1" s="1"/>
  <c r="R538" i="1" s="1"/>
  <c r="M538" i="1" s="1"/>
  <c r="AB536" i="1"/>
  <c r="W536" i="1" s="1"/>
  <c r="R536" i="1" s="1"/>
  <c r="M536" i="1" s="1"/>
  <c r="AB535" i="1"/>
  <c r="W535" i="1" s="1"/>
  <c r="R535" i="1" s="1"/>
  <c r="M535" i="1" s="1"/>
  <c r="AB534" i="1"/>
  <c r="W534" i="1" s="1"/>
  <c r="R534" i="1" s="1"/>
  <c r="M534" i="1" s="1"/>
  <c r="AB533" i="1"/>
  <c r="W533" i="1" s="1"/>
  <c r="R533" i="1" s="1"/>
  <c r="M533" i="1" s="1"/>
  <c r="AB532" i="1"/>
  <c r="W532" i="1" s="1"/>
  <c r="R532" i="1" s="1"/>
  <c r="M532" i="1" s="1"/>
  <c r="AB530" i="1"/>
  <c r="W530" i="1" s="1"/>
  <c r="R530" i="1" s="1"/>
  <c r="M530" i="1" s="1"/>
  <c r="AB529" i="1"/>
  <c r="W529" i="1" s="1"/>
  <c r="R529" i="1" s="1"/>
  <c r="M529" i="1" s="1"/>
  <c r="AB527" i="1"/>
  <c r="W527" i="1" s="1"/>
  <c r="R527" i="1" s="1"/>
  <c r="M527" i="1" s="1"/>
  <c r="AB526" i="1"/>
  <c r="W526" i="1" s="1"/>
  <c r="R526" i="1" s="1"/>
  <c r="M526" i="1" s="1"/>
  <c r="AB524" i="1"/>
  <c r="W524" i="1" s="1"/>
  <c r="R524" i="1" s="1"/>
  <c r="M524" i="1" s="1"/>
  <c r="AB523" i="1"/>
  <c r="W523" i="1" s="1"/>
  <c r="R523" i="1" s="1"/>
  <c r="M523" i="1" s="1"/>
  <c r="AB521" i="1"/>
  <c r="W521" i="1" s="1"/>
  <c r="R521" i="1" s="1"/>
  <c r="M521" i="1" s="1"/>
  <c r="AB520" i="1"/>
  <c r="W520" i="1" s="1"/>
  <c r="R520" i="1" s="1"/>
  <c r="M520" i="1" s="1"/>
  <c r="AB518" i="1"/>
  <c r="W518" i="1" s="1"/>
  <c r="R518" i="1" s="1"/>
  <c r="M518" i="1" s="1"/>
  <c r="AB517" i="1"/>
  <c r="W517" i="1" s="1"/>
  <c r="R517" i="1" s="1"/>
  <c r="M517" i="1" s="1"/>
  <c r="AB515" i="1"/>
  <c r="W515" i="1" s="1"/>
  <c r="R515" i="1" s="1"/>
  <c r="M515" i="1" s="1"/>
  <c r="AB514" i="1"/>
  <c r="W514" i="1" s="1"/>
  <c r="R514" i="1" s="1"/>
  <c r="M514" i="1" s="1"/>
  <c r="AB512" i="1"/>
  <c r="W512" i="1" s="1"/>
  <c r="R512" i="1" s="1"/>
  <c r="M512" i="1" s="1"/>
  <c r="AB511" i="1"/>
  <c r="W511" i="1" s="1"/>
  <c r="R511" i="1" s="1"/>
  <c r="M511" i="1" s="1"/>
  <c r="Z507" i="1"/>
  <c r="Z505" i="1"/>
  <c r="Y503" i="1"/>
  <c r="AB503" i="1" s="1"/>
  <c r="W503" i="1" s="1"/>
  <c r="R503" i="1" s="1"/>
  <c r="M503" i="1" s="1"/>
  <c r="Y502" i="1"/>
  <c r="AB502" i="1" s="1"/>
  <c r="W502" i="1" s="1"/>
  <c r="R502" i="1" s="1"/>
  <c r="M502" i="1" s="1"/>
  <c r="Y501" i="1"/>
  <c r="AB501" i="1" s="1"/>
  <c r="W501" i="1" s="1"/>
  <c r="R501" i="1" s="1"/>
  <c r="M501" i="1" s="1"/>
  <c r="Y500" i="1"/>
  <c r="AB500" i="1" s="1"/>
  <c r="W500" i="1" s="1"/>
  <c r="R500" i="1" s="1"/>
  <c r="M500" i="1" s="1"/>
  <c r="Z499" i="1"/>
  <c r="Y498" i="1"/>
  <c r="AB498" i="1" s="1"/>
  <c r="W498" i="1" s="1"/>
  <c r="R498" i="1" s="1"/>
  <c r="M498" i="1" s="1"/>
  <c r="Y497" i="1"/>
  <c r="AB497" i="1" s="1"/>
  <c r="W497" i="1" s="1"/>
  <c r="R497" i="1" s="1"/>
  <c r="M497" i="1" s="1"/>
  <c r="Y496" i="1"/>
  <c r="AB496" i="1" s="1"/>
  <c r="W496" i="1" s="1"/>
  <c r="R496" i="1" s="1"/>
  <c r="M496" i="1" s="1"/>
  <c r="Z495" i="1"/>
  <c r="Y494" i="1"/>
  <c r="AB494" i="1" s="1"/>
  <c r="W494" i="1" s="1"/>
  <c r="R494" i="1" s="1"/>
  <c r="M494" i="1" s="1"/>
  <c r="Y493" i="1"/>
  <c r="AB493" i="1" s="1"/>
  <c r="W493" i="1" s="1"/>
  <c r="R493" i="1" s="1"/>
  <c r="M493" i="1" s="1"/>
  <c r="Y492" i="1"/>
  <c r="AB492" i="1" s="1"/>
  <c r="W492" i="1" s="1"/>
  <c r="R492" i="1" s="1"/>
  <c r="M492" i="1" s="1"/>
  <c r="Y491" i="1"/>
  <c r="AB491" i="1" s="1"/>
  <c r="W491" i="1" s="1"/>
  <c r="R491" i="1" s="1"/>
  <c r="M491" i="1" s="1"/>
  <c r="Z490" i="1"/>
  <c r="Y463" i="1"/>
  <c r="AB463" i="1" s="1"/>
  <c r="W463" i="1" s="1"/>
  <c r="R463" i="1" s="1"/>
  <c r="M463" i="1" s="1"/>
  <c r="Y461" i="1"/>
  <c r="AB461" i="1" s="1"/>
  <c r="W461" i="1" s="1"/>
  <c r="R461" i="1" s="1"/>
  <c r="M461" i="1" s="1"/>
  <c r="Y459" i="1"/>
  <c r="AB459" i="1" s="1"/>
  <c r="W459" i="1" s="1"/>
  <c r="R459" i="1" s="1"/>
  <c r="M459" i="1" s="1"/>
  <c r="Y457" i="1"/>
  <c r="AB457" i="1" s="1"/>
  <c r="W457" i="1" s="1"/>
  <c r="R457" i="1" s="1"/>
  <c r="M457" i="1" s="1"/>
  <c r="Y456" i="1"/>
  <c r="AB456" i="1" s="1"/>
  <c r="W456" i="1" s="1"/>
  <c r="R456" i="1" s="1"/>
  <c r="M456" i="1" s="1"/>
  <c r="Y455" i="1"/>
  <c r="AB455" i="1" s="1"/>
  <c r="W455" i="1" s="1"/>
  <c r="R455" i="1" s="1"/>
  <c r="M455" i="1" s="1"/>
  <c r="Y453" i="1"/>
  <c r="AB453" i="1" s="1"/>
  <c r="W453" i="1" s="1"/>
  <c r="R453" i="1" s="1"/>
  <c r="M453" i="1" s="1"/>
  <c r="Y452" i="1"/>
  <c r="AB452" i="1" s="1"/>
  <c r="W452" i="1" s="1"/>
  <c r="R452" i="1" s="1"/>
  <c r="M452" i="1" s="1"/>
  <c r="Y451" i="1"/>
  <c r="AB451" i="1" s="1"/>
  <c r="W451" i="1" s="1"/>
  <c r="R451" i="1" s="1"/>
  <c r="M451" i="1" s="1"/>
  <c r="Y449" i="1"/>
  <c r="AB449" i="1" s="1"/>
  <c r="W449" i="1" s="1"/>
  <c r="R449" i="1" s="1"/>
  <c r="M449" i="1" s="1"/>
  <c r="Y448" i="1"/>
  <c r="AB448" i="1" s="1"/>
  <c r="W448" i="1" s="1"/>
  <c r="R448" i="1" s="1"/>
  <c r="M448" i="1" s="1"/>
  <c r="Y447" i="1"/>
  <c r="AB447" i="1" s="1"/>
  <c r="W447" i="1" s="1"/>
  <c r="R447" i="1" s="1"/>
  <c r="M447" i="1" s="1"/>
  <c r="Y445" i="1"/>
  <c r="AB445" i="1" s="1"/>
  <c r="W445" i="1" s="1"/>
  <c r="R445" i="1" s="1"/>
  <c r="M445" i="1" s="1"/>
  <c r="Y444" i="1"/>
  <c r="AB444" i="1" s="1"/>
  <c r="W444" i="1" s="1"/>
  <c r="R444" i="1" s="1"/>
  <c r="M444" i="1" s="1"/>
  <c r="Y443" i="1"/>
  <c r="AB443" i="1" s="1"/>
  <c r="W443" i="1" s="1"/>
  <c r="R443" i="1" s="1"/>
  <c r="M443" i="1" s="1"/>
  <c r="Y441" i="1"/>
  <c r="AB441" i="1" s="1"/>
  <c r="W441" i="1" s="1"/>
  <c r="R441" i="1" s="1"/>
  <c r="M441" i="1" s="1"/>
  <c r="Y439" i="1"/>
  <c r="AB439" i="1" s="1"/>
  <c r="W439" i="1" s="1"/>
  <c r="R439" i="1" s="1"/>
  <c r="M439" i="1" s="1"/>
  <c r="Y437" i="1"/>
  <c r="AB437" i="1" s="1"/>
  <c r="W437" i="1" s="1"/>
  <c r="R437" i="1" s="1"/>
  <c r="M437" i="1" s="1"/>
  <c r="Y435" i="1"/>
  <c r="AB435" i="1" s="1"/>
  <c r="W435" i="1" s="1"/>
  <c r="R435" i="1" s="1"/>
  <c r="M435" i="1" s="1"/>
  <c r="Y433" i="1"/>
  <c r="AB433" i="1" s="1"/>
  <c r="W433" i="1" s="1"/>
  <c r="R433" i="1" s="1"/>
  <c r="M433" i="1" s="1"/>
  <c r="Y432" i="1"/>
  <c r="AB432" i="1" s="1"/>
  <c r="W432" i="1" s="1"/>
  <c r="R432" i="1" s="1"/>
  <c r="M432" i="1" s="1"/>
  <c r="Y431" i="1"/>
  <c r="AB431" i="1" s="1"/>
  <c r="W431" i="1" s="1"/>
  <c r="R431" i="1" s="1"/>
  <c r="M431" i="1" s="1"/>
  <c r="Y429" i="1"/>
  <c r="AB429" i="1" s="1"/>
  <c r="W429" i="1" s="1"/>
  <c r="R429" i="1" s="1"/>
  <c r="M429" i="1" s="1"/>
  <c r="Y428" i="1"/>
  <c r="AB428" i="1" s="1"/>
  <c r="W428" i="1" s="1"/>
  <c r="R428" i="1" s="1"/>
  <c r="M428" i="1" s="1"/>
  <c r="Y427" i="1"/>
  <c r="AB427" i="1" s="1"/>
  <c r="W427" i="1" s="1"/>
  <c r="R427" i="1" s="1"/>
  <c r="M427" i="1" s="1"/>
  <c r="Z424" i="1"/>
  <c r="Z422" i="1"/>
  <c r="Z421" i="1"/>
  <c r="Z420" i="1"/>
  <c r="Z418" i="1"/>
  <c r="Z417" i="1"/>
  <c r="Z416" i="1"/>
  <c r="Z413" i="1"/>
  <c r="Z411" i="1"/>
  <c r="Z408" i="1"/>
  <c r="Z404" i="1"/>
  <c r="Z402" i="1"/>
  <c r="Z401" i="1"/>
  <c r="Z400" i="1"/>
  <c r="Z397" i="1"/>
  <c r="Z392" i="1"/>
  <c r="Z388" i="1"/>
  <c r="Z383" i="1"/>
  <c r="Z378" i="1"/>
  <c r="Y375" i="1"/>
  <c r="AB375" i="1" s="1"/>
  <c r="W375" i="1" s="1"/>
  <c r="M375" i="1" s="1"/>
  <c r="Y374" i="1"/>
  <c r="AB374" i="1" s="1"/>
  <c r="W374" i="1" s="1"/>
  <c r="M374" i="1" s="1"/>
  <c r="Y373" i="1"/>
  <c r="AB373" i="1" s="1"/>
  <c r="W373" i="1" s="1"/>
  <c r="M373" i="1" s="1"/>
  <c r="Y372" i="1"/>
  <c r="AB372" i="1" s="1"/>
  <c r="W372" i="1" s="1"/>
  <c r="M372" i="1" s="1"/>
  <c r="Y371" i="1"/>
  <c r="AB371" i="1" s="1"/>
  <c r="W371" i="1" s="1"/>
  <c r="M371" i="1" s="1"/>
  <c r="Y370" i="1"/>
  <c r="AB370" i="1" s="1"/>
  <c r="W370" i="1" s="1"/>
  <c r="M370" i="1" s="1"/>
  <c r="Y368" i="1"/>
  <c r="AB368" i="1" s="1"/>
  <c r="W368" i="1" s="1"/>
  <c r="R368" i="1" s="1"/>
  <c r="M368" i="1" s="1"/>
  <c r="Y344" i="1"/>
  <c r="AB344" i="1" s="1"/>
  <c r="W344" i="1" s="1"/>
  <c r="M344" i="1" s="1"/>
  <c r="Z343" i="1"/>
  <c r="Z342" i="1"/>
  <c r="Y341" i="1"/>
  <c r="AB341" i="1" s="1"/>
  <c r="W341" i="1" s="1"/>
  <c r="M341" i="1" s="1"/>
  <c r="Y338" i="1"/>
  <c r="AB338" i="1" s="1"/>
  <c r="W338" i="1" s="1"/>
  <c r="R338" i="1" s="1"/>
  <c r="M338" i="1" s="1"/>
  <c r="Y335" i="1"/>
  <c r="AB335" i="1" s="1"/>
  <c r="W335" i="1" s="1"/>
  <c r="M335" i="1" s="1"/>
  <c r="Y334" i="1"/>
  <c r="AB334" i="1" s="1"/>
  <c r="W334" i="1" s="1"/>
  <c r="M334" i="1" s="1"/>
  <c r="Y332" i="1"/>
  <c r="AB332" i="1" s="1"/>
  <c r="W332" i="1" s="1"/>
  <c r="R332" i="1" s="1"/>
  <c r="M332" i="1" s="1"/>
  <c r="Y331" i="1"/>
  <c r="AB331" i="1" s="1"/>
  <c r="W331" i="1" s="1"/>
  <c r="R331" i="1" s="1"/>
  <c r="M331" i="1" s="1"/>
  <c r="Y330" i="1"/>
  <c r="AB330" i="1" s="1"/>
  <c r="W330" i="1" s="1"/>
  <c r="R330" i="1" s="1"/>
  <c r="M330" i="1" s="1"/>
  <c r="Y329" i="1"/>
  <c r="AB329" i="1" s="1"/>
  <c r="W329" i="1" s="1"/>
  <c r="R329" i="1" s="1"/>
  <c r="M329" i="1" s="1"/>
  <c r="Y328" i="1"/>
  <c r="AB328" i="1" s="1"/>
  <c r="W328" i="1" s="1"/>
  <c r="R328" i="1" s="1"/>
  <c r="M328" i="1" s="1"/>
  <c r="Y327" i="1"/>
  <c r="AB327" i="1" s="1"/>
  <c r="W327" i="1" s="1"/>
  <c r="R327" i="1" s="1"/>
  <c r="M327" i="1" s="1"/>
  <c r="Y325" i="1"/>
  <c r="AB325" i="1" s="1"/>
  <c r="W325" i="1" s="1"/>
  <c r="R325" i="1" s="1"/>
  <c r="M325" i="1" s="1"/>
  <c r="Y324" i="1"/>
  <c r="AB324" i="1" s="1"/>
  <c r="W324" i="1" s="1"/>
  <c r="R324" i="1" s="1"/>
  <c r="M324" i="1" s="1"/>
  <c r="Y323" i="1"/>
  <c r="AB323" i="1" s="1"/>
  <c r="W323" i="1" s="1"/>
  <c r="R323" i="1" s="1"/>
  <c r="M323" i="1" s="1"/>
  <c r="Y322" i="1"/>
  <c r="AB322" i="1" s="1"/>
  <c r="W322" i="1" s="1"/>
  <c r="R322" i="1" s="1"/>
  <c r="M322" i="1" s="1"/>
  <c r="Y321" i="1"/>
  <c r="AB321" i="1" s="1"/>
  <c r="W321" i="1" s="1"/>
  <c r="R321" i="1" s="1"/>
  <c r="M321" i="1" s="1"/>
  <c r="Y320" i="1"/>
  <c r="AB320" i="1" s="1"/>
  <c r="W320" i="1" s="1"/>
  <c r="R320" i="1" s="1"/>
  <c r="M320" i="1" s="1"/>
  <c r="Y318" i="1"/>
  <c r="AB318" i="1" s="1"/>
  <c r="W318" i="1" s="1"/>
  <c r="R318" i="1" s="1"/>
  <c r="M318" i="1" s="1"/>
  <c r="Y317" i="1"/>
  <c r="AB317" i="1" s="1"/>
  <c r="W317" i="1" s="1"/>
  <c r="R317" i="1" s="1"/>
  <c r="M317" i="1" s="1"/>
  <c r="Y314" i="1"/>
  <c r="AB314" i="1" s="1"/>
  <c r="W314" i="1" s="1"/>
  <c r="R314" i="1" s="1"/>
  <c r="M314" i="1" s="1"/>
  <c r="Y313" i="1"/>
  <c r="AB313" i="1" s="1"/>
  <c r="W313" i="1" s="1"/>
  <c r="R313" i="1" s="1"/>
  <c r="M313" i="1" s="1"/>
  <c r="Y312" i="1"/>
  <c r="AB312" i="1" s="1"/>
  <c r="W312" i="1" s="1"/>
  <c r="R312" i="1" s="1"/>
  <c r="M312" i="1" s="1"/>
  <c r="Y311" i="1"/>
  <c r="AB311" i="1" s="1"/>
  <c r="W311" i="1" s="1"/>
  <c r="R311" i="1" s="1"/>
  <c r="M311" i="1" s="1"/>
  <c r="Y310" i="1"/>
  <c r="AB310" i="1" s="1"/>
  <c r="W310" i="1" s="1"/>
  <c r="R310" i="1" s="1"/>
  <c r="M310" i="1" s="1"/>
  <c r="Z309" i="1"/>
  <c r="Y308" i="1"/>
  <c r="AB308" i="1" s="1"/>
  <c r="W308" i="1" s="1"/>
  <c r="R308" i="1" s="1"/>
  <c r="M308" i="1" s="1"/>
  <c r="Y307" i="1"/>
  <c r="AB307" i="1" s="1"/>
  <c r="W307" i="1" s="1"/>
  <c r="R307" i="1" s="1"/>
  <c r="M307" i="1" s="1"/>
  <c r="Z306" i="1"/>
  <c r="Y305" i="1"/>
  <c r="AB305" i="1" s="1"/>
  <c r="W305" i="1" s="1"/>
  <c r="R305" i="1" s="1"/>
  <c r="M305" i="1" s="1"/>
  <c r="Y304" i="1"/>
  <c r="AB304" i="1" s="1"/>
  <c r="W304" i="1" s="1"/>
  <c r="R304" i="1" s="1"/>
  <c r="M304" i="1" s="1"/>
  <c r="Z303" i="1"/>
  <c r="Y302" i="1"/>
  <c r="AB302" i="1" s="1"/>
  <c r="W302" i="1" s="1"/>
  <c r="R302" i="1" s="1"/>
  <c r="M302" i="1" s="1"/>
  <c r="Y301" i="1"/>
  <c r="AB301" i="1" s="1"/>
  <c r="W301" i="1" s="1"/>
  <c r="R301" i="1" s="1"/>
  <c r="M301" i="1" s="1"/>
  <c r="Z300" i="1"/>
  <c r="Y299" i="1"/>
  <c r="AB299" i="1" s="1"/>
  <c r="W299" i="1" s="1"/>
  <c r="R299" i="1" s="1"/>
  <c r="M299" i="1" s="1"/>
  <c r="Y298" i="1"/>
  <c r="AB298" i="1" s="1"/>
  <c r="W298" i="1" s="1"/>
  <c r="R298" i="1" s="1"/>
  <c r="M298" i="1" s="1"/>
  <c r="Z297" i="1"/>
  <c r="Y296" i="1"/>
  <c r="AB296" i="1" s="1"/>
  <c r="W296" i="1" s="1"/>
  <c r="R296" i="1" s="1"/>
  <c r="M296" i="1" s="1"/>
  <c r="Y295" i="1"/>
  <c r="AB295" i="1" s="1"/>
  <c r="W295" i="1" s="1"/>
  <c r="R295" i="1" s="1"/>
  <c r="M295" i="1" s="1"/>
  <c r="Z294" i="1"/>
  <c r="Y293" i="1"/>
  <c r="AB293" i="1" s="1"/>
  <c r="W293" i="1" s="1"/>
  <c r="R293" i="1" s="1"/>
  <c r="M293" i="1" s="1"/>
  <c r="Y292" i="1"/>
  <c r="AB292" i="1" s="1"/>
  <c r="W292" i="1" s="1"/>
  <c r="R292" i="1" s="1"/>
  <c r="M292" i="1" s="1"/>
  <c r="Y291" i="1"/>
  <c r="AB291" i="1" s="1"/>
  <c r="W291" i="1" s="1"/>
  <c r="R291" i="1" s="1"/>
  <c r="M291" i="1" s="1"/>
  <c r="Z290" i="1"/>
  <c r="Y289" i="1"/>
  <c r="AB289" i="1" s="1"/>
  <c r="W289" i="1" s="1"/>
  <c r="R289" i="1" s="1"/>
  <c r="M289" i="1" s="1"/>
  <c r="Y288" i="1"/>
  <c r="AB288" i="1" s="1"/>
  <c r="W288" i="1" s="1"/>
  <c r="R288" i="1" s="1"/>
  <c r="M288" i="1" s="1"/>
  <c r="Y287" i="1"/>
  <c r="AB287" i="1" s="1"/>
  <c r="W287" i="1" s="1"/>
  <c r="R287" i="1" s="1"/>
  <c r="M287" i="1" s="1"/>
  <c r="Z286" i="1"/>
  <c r="Y285" i="1"/>
  <c r="AB285" i="1" s="1"/>
  <c r="W285" i="1" s="1"/>
  <c r="R285" i="1" s="1"/>
  <c r="M285" i="1" s="1"/>
  <c r="Y284" i="1"/>
  <c r="AB284" i="1" s="1"/>
  <c r="W284" i="1" s="1"/>
  <c r="R284" i="1" s="1"/>
  <c r="M284" i="1" s="1"/>
  <c r="Y283" i="1"/>
  <c r="AB283" i="1" s="1"/>
  <c r="W283" i="1" s="1"/>
  <c r="R283" i="1" s="1"/>
  <c r="M283" i="1" s="1"/>
  <c r="Y282" i="1"/>
  <c r="AB282" i="1" s="1"/>
  <c r="W282" i="1" s="1"/>
  <c r="R282" i="1" s="1"/>
  <c r="M282" i="1" s="1"/>
  <c r="Y281" i="1"/>
  <c r="AB281" i="1" s="1"/>
  <c r="W281" i="1" s="1"/>
  <c r="R281" i="1" s="1"/>
  <c r="M281" i="1" s="1"/>
  <c r="Y280" i="1"/>
  <c r="AB280" i="1" s="1"/>
  <c r="W280" i="1" s="1"/>
  <c r="R280" i="1" s="1"/>
  <c r="M280" i="1" s="1"/>
  <c r="Y279" i="1"/>
  <c r="AB279" i="1" s="1"/>
  <c r="W279" i="1" s="1"/>
  <c r="R279" i="1" s="1"/>
  <c r="M279" i="1" s="1"/>
  <c r="Y278" i="1"/>
  <c r="AB278" i="1" s="1"/>
  <c r="W278" i="1" s="1"/>
  <c r="R278" i="1" s="1"/>
  <c r="M278" i="1" s="1"/>
  <c r="Y277" i="1"/>
  <c r="AB277" i="1" s="1"/>
  <c r="W277" i="1" s="1"/>
  <c r="R277" i="1" s="1"/>
  <c r="M277" i="1" s="1"/>
  <c r="Y276" i="1"/>
  <c r="AB276" i="1" s="1"/>
  <c r="W276" i="1" s="1"/>
  <c r="R276" i="1" s="1"/>
  <c r="M276" i="1" s="1"/>
  <c r="Z275" i="1"/>
  <c r="Y274" i="1"/>
  <c r="AB274" i="1" s="1"/>
  <c r="W274" i="1" s="1"/>
  <c r="R274" i="1" s="1"/>
  <c r="M274" i="1" s="1"/>
  <c r="Y273" i="1"/>
  <c r="AB273" i="1" s="1"/>
  <c r="W273" i="1" s="1"/>
  <c r="R273" i="1" s="1"/>
  <c r="M273" i="1" s="1"/>
  <c r="Y272" i="1"/>
  <c r="AB272" i="1" s="1"/>
  <c r="W272" i="1" s="1"/>
  <c r="R272" i="1" s="1"/>
  <c r="M272" i="1" s="1"/>
  <c r="Y271" i="1"/>
  <c r="AB271" i="1" s="1"/>
  <c r="W271" i="1" s="1"/>
  <c r="R271" i="1" s="1"/>
  <c r="M271" i="1" s="1"/>
  <c r="Y270" i="1"/>
  <c r="AB270" i="1" s="1"/>
  <c r="W270" i="1" s="1"/>
  <c r="R270" i="1" s="1"/>
  <c r="M270" i="1" s="1"/>
  <c r="Y269" i="1"/>
  <c r="AB269" i="1" s="1"/>
  <c r="W269" i="1" s="1"/>
  <c r="R269" i="1" s="1"/>
  <c r="M269" i="1" s="1"/>
  <c r="Y268" i="1"/>
  <c r="AB268" i="1" s="1"/>
  <c r="W268" i="1" s="1"/>
  <c r="R268" i="1" s="1"/>
  <c r="M268" i="1" s="1"/>
  <c r="Y267" i="1"/>
  <c r="AB267" i="1" s="1"/>
  <c r="W267" i="1" s="1"/>
  <c r="R267" i="1" s="1"/>
  <c r="M267" i="1" s="1"/>
  <c r="Y266" i="1"/>
  <c r="AB266" i="1" s="1"/>
  <c r="W266" i="1" s="1"/>
  <c r="R266" i="1" s="1"/>
  <c r="M266" i="1" s="1"/>
  <c r="Y265" i="1"/>
  <c r="AB265" i="1" s="1"/>
  <c r="W265" i="1" s="1"/>
  <c r="R265" i="1" s="1"/>
  <c r="M265" i="1" s="1"/>
  <c r="Z264" i="1"/>
  <c r="Y263" i="1"/>
  <c r="AB263" i="1" s="1"/>
  <c r="W263" i="1" s="1"/>
  <c r="R263" i="1" s="1"/>
  <c r="M263" i="1" s="1"/>
  <c r="Y262" i="1"/>
  <c r="AB262" i="1" s="1"/>
  <c r="W262" i="1" s="1"/>
  <c r="R262" i="1" s="1"/>
  <c r="M262" i="1" s="1"/>
  <c r="Y261" i="1"/>
  <c r="AB261" i="1" s="1"/>
  <c r="W261" i="1" s="1"/>
  <c r="R261" i="1" s="1"/>
  <c r="M261" i="1" s="1"/>
  <c r="Y260" i="1"/>
  <c r="AB260" i="1" s="1"/>
  <c r="W260" i="1" s="1"/>
  <c r="R260" i="1" s="1"/>
  <c r="M260" i="1" s="1"/>
  <c r="Y259" i="1"/>
  <c r="AB259" i="1" s="1"/>
  <c r="W259" i="1" s="1"/>
  <c r="R259" i="1" s="1"/>
  <c r="M259" i="1" s="1"/>
  <c r="Y258" i="1"/>
  <c r="AB258" i="1" s="1"/>
  <c r="W258" i="1" s="1"/>
  <c r="R258" i="1" s="1"/>
  <c r="M258" i="1" s="1"/>
  <c r="Y257" i="1"/>
  <c r="AB257" i="1" s="1"/>
  <c r="W257" i="1" s="1"/>
  <c r="R257" i="1" s="1"/>
  <c r="M257" i="1" s="1"/>
  <c r="Y256" i="1"/>
  <c r="AB256" i="1" s="1"/>
  <c r="W256" i="1" s="1"/>
  <c r="R256" i="1" s="1"/>
  <c r="M256" i="1" s="1"/>
  <c r="Y255" i="1"/>
  <c r="AB255" i="1" s="1"/>
  <c r="W255" i="1" s="1"/>
  <c r="R255" i="1" s="1"/>
  <c r="M255" i="1" s="1"/>
  <c r="Y254" i="1"/>
  <c r="AB254" i="1" s="1"/>
  <c r="W254" i="1" s="1"/>
  <c r="R254" i="1" s="1"/>
  <c r="M254" i="1" s="1"/>
  <c r="Z253" i="1"/>
  <c r="Y252" i="1"/>
  <c r="AB252" i="1" s="1"/>
  <c r="W252" i="1" s="1"/>
  <c r="R252" i="1" s="1"/>
  <c r="M252" i="1" s="1"/>
  <c r="Y251" i="1"/>
  <c r="AB251" i="1" s="1"/>
  <c r="W251" i="1" s="1"/>
  <c r="R251" i="1" s="1"/>
  <c r="M251" i="1" s="1"/>
  <c r="Y250" i="1"/>
  <c r="AB250" i="1" s="1"/>
  <c r="W250" i="1" s="1"/>
  <c r="R250" i="1" s="1"/>
  <c r="M250" i="1" s="1"/>
  <c r="Y249" i="1"/>
  <c r="AB249" i="1" s="1"/>
  <c r="W249" i="1" s="1"/>
  <c r="R249" i="1" s="1"/>
  <c r="M249" i="1" s="1"/>
  <c r="Y248" i="1"/>
  <c r="AB248" i="1" s="1"/>
  <c r="W248" i="1" s="1"/>
  <c r="R248" i="1" s="1"/>
  <c r="M248" i="1" s="1"/>
  <c r="Y247" i="1"/>
  <c r="AB247" i="1" s="1"/>
  <c r="W247" i="1" s="1"/>
  <c r="R247" i="1" s="1"/>
  <c r="M247" i="1" s="1"/>
  <c r="Y246" i="1"/>
  <c r="AB246" i="1" s="1"/>
  <c r="W246" i="1" s="1"/>
  <c r="R246" i="1" s="1"/>
  <c r="M246" i="1" s="1"/>
  <c r="Y245" i="1"/>
  <c r="AB245" i="1" s="1"/>
  <c r="W245" i="1" s="1"/>
  <c r="R245" i="1" s="1"/>
  <c r="M245" i="1" s="1"/>
  <c r="Z244" i="1"/>
  <c r="Y243" i="1"/>
  <c r="AB243" i="1" s="1"/>
  <c r="W243" i="1" s="1"/>
  <c r="R243" i="1" s="1"/>
  <c r="M243" i="1" s="1"/>
  <c r="Y242" i="1"/>
  <c r="AB242" i="1" s="1"/>
  <c r="W242" i="1" s="1"/>
  <c r="R242" i="1" s="1"/>
  <c r="M242" i="1" s="1"/>
  <c r="Y241" i="1"/>
  <c r="AB241" i="1" s="1"/>
  <c r="W241" i="1" s="1"/>
  <c r="R241" i="1" s="1"/>
  <c r="M241" i="1" s="1"/>
  <c r="Z240" i="1"/>
  <c r="Y239" i="1"/>
  <c r="AB239" i="1" s="1"/>
  <c r="W239" i="1" s="1"/>
  <c r="R239" i="1" s="1"/>
  <c r="M239" i="1" s="1"/>
  <c r="Y238" i="1"/>
  <c r="AB238" i="1" s="1"/>
  <c r="W238" i="1" s="1"/>
  <c r="R238" i="1" s="1"/>
  <c r="M238" i="1" s="1"/>
  <c r="Z237" i="1"/>
  <c r="Y236" i="1"/>
  <c r="AB236" i="1" s="1"/>
  <c r="W236" i="1" s="1"/>
  <c r="R236" i="1" s="1"/>
  <c r="M236" i="1" s="1"/>
  <c r="Z235" i="1"/>
  <c r="Y233" i="1"/>
  <c r="AB233" i="1" s="1"/>
  <c r="W233" i="1" s="1"/>
  <c r="R233" i="1" s="1"/>
  <c r="M233" i="1" s="1"/>
  <c r="Y232" i="1"/>
  <c r="AB232" i="1" s="1"/>
  <c r="W232" i="1" s="1"/>
  <c r="R232" i="1" s="1"/>
  <c r="M232" i="1" s="1"/>
  <c r="Y231" i="1"/>
  <c r="AB231" i="1" s="1"/>
  <c r="W231" i="1" s="1"/>
  <c r="R231" i="1" s="1"/>
  <c r="M231" i="1" s="1"/>
  <c r="Y229" i="1"/>
  <c r="AB229" i="1" s="1"/>
  <c r="W229" i="1" s="1"/>
  <c r="R229" i="1" s="1"/>
  <c r="M229" i="1" s="1"/>
  <c r="Y228" i="1"/>
  <c r="AB228" i="1" s="1"/>
  <c r="W228" i="1" s="1"/>
  <c r="R228" i="1" s="1"/>
  <c r="M228" i="1" s="1"/>
  <c r="Y227" i="1"/>
  <c r="AB227" i="1" s="1"/>
  <c r="W227" i="1" s="1"/>
  <c r="R227" i="1" s="1"/>
  <c r="M227" i="1" s="1"/>
  <c r="Y226" i="1"/>
  <c r="AB226" i="1" s="1"/>
  <c r="W226" i="1" s="1"/>
  <c r="R226" i="1" s="1"/>
  <c r="M226" i="1" s="1"/>
  <c r="Y225" i="1"/>
  <c r="AB225" i="1" s="1"/>
  <c r="W225" i="1" s="1"/>
  <c r="R225" i="1" s="1"/>
  <c r="M225" i="1" s="1"/>
  <c r="Y223" i="1"/>
  <c r="AB223" i="1" s="1"/>
  <c r="W223" i="1" s="1"/>
  <c r="R223" i="1" s="1"/>
  <c r="M223" i="1" s="1"/>
  <c r="Y222" i="1"/>
  <c r="AB222" i="1" s="1"/>
  <c r="W222" i="1" s="1"/>
  <c r="R222" i="1" s="1"/>
  <c r="M222" i="1" s="1"/>
  <c r="Y221" i="1"/>
  <c r="AB221" i="1" s="1"/>
  <c r="W221" i="1" s="1"/>
  <c r="R221" i="1" s="1"/>
  <c r="M221" i="1" s="1"/>
  <c r="Y220" i="1"/>
  <c r="AB220" i="1" s="1"/>
  <c r="W220" i="1" s="1"/>
  <c r="R220" i="1" s="1"/>
  <c r="M220" i="1" s="1"/>
  <c r="Y219" i="1"/>
  <c r="AB219" i="1" s="1"/>
  <c r="W219" i="1" s="1"/>
  <c r="R219" i="1" s="1"/>
  <c r="M219" i="1" s="1"/>
  <c r="Y217" i="1"/>
  <c r="AB217" i="1" s="1"/>
  <c r="W217" i="1" s="1"/>
  <c r="R217" i="1" s="1"/>
  <c r="M217" i="1" s="1"/>
  <c r="Y216" i="1"/>
  <c r="AB216" i="1" s="1"/>
  <c r="W216" i="1" s="1"/>
  <c r="R216" i="1" s="1"/>
  <c r="M216" i="1" s="1"/>
  <c r="Y215" i="1"/>
  <c r="AB215" i="1" s="1"/>
  <c r="W215" i="1" s="1"/>
  <c r="R215" i="1" s="1"/>
  <c r="M215" i="1" s="1"/>
  <c r="Y214" i="1"/>
  <c r="AB214" i="1" s="1"/>
  <c r="W214" i="1" s="1"/>
  <c r="R214" i="1" s="1"/>
  <c r="M214" i="1" s="1"/>
  <c r="Y213" i="1"/>
  <c r="AB213" i="1" s="1"/>
  <c r="W213" i="1" s="1"/>
  <c r="R213" i="1" s="1"/>
  <c r="M213" i="1" s="1"/>
  <c r="Y211" i="1"/>
  <c r="AB211" i="1" s="1"/>
  <c r="W211" i="1" s="1"/>
  <c r="R211" i="1" s="1"/>
  <c r="M211" i="1" s="1"/>
  <c r="Y210" i="1"/>
  <c r="AB210" i="1" s="1"/>
  <c r="W210" i="1" s="1"/>
  <c r="R210" i="1" s="1"/>
  <c r="M210" i="1" s="1"/>
  <c r="Y209" i="1"/>
  <c r="AB209" i="1" s="1"/>
  <c r="W209" i="1" s="1"/>
  <c r="R209" i="1" s="1"/>
  <c r="M209" i="1" s="1"/>
  <c r="Y208" i="1"/>
  <c r="AB208" i="1" s="1"/>
  <c r="W208" i="1" s="1"/>
  <c r="R208" i="1" s="1"/>
  <c r="M208" i="1" s="1"/>
  <c r="Y207" i="1"/>
  <c r="AB207" i="1" s="1"/>
  <c r="W207" i="1" s="1"/>
  <c r="R207" i="1" s="1"/>
  <c r="M207" i="1" s="1"/>
  <c r="Y205" i="1"/>
  <c r="AB205" i="1" s="1"/>
  <c r="W205" i="1" s="1"/>
  <c r="R205" i="1" s="1"/>
  <c r="M205" i="1" s="1"/>
  <c r="Y204" i="1"/>
  <c r="AB204" i="1" s="1"/>
  <c r="W204" i="1" s="1"/>
  <c r="R204" i="1" s="1"/>
  <c r="M204" i="1" s="1"/>
  <c r="Y203" i="1"/>
  <c r="AB203" i="1" s="1"/>
  <c r="W203" i="1" s="1"/>
  <c r="R203" i="1" s="1"/>
  <c r="M203" i="1" s="1"/>
  <c r="Y202" i="1"/>
  <c r="AB202" i="1" s="1"/>
  <c r="W202" i="1" s="1"/>
  <c r="R202" i="1" s="1"/>
  <c r="M202" i="1" s="1"/>
  <c r="Y201" i="1"/>
  <c r="AB201" i="1" s="1"/>
  <c r="W201" i="1" s="1"/>
  <c r="R201" i="1" s="1"/>
  <c r="M201" i="1" s="1"/>
  <c r="Y200" i="1"/>
  <c r="AB200" i="1" s="1"/>
  <c r="W200" i="1" s="1"/>
  <c r="R200" i="1" s="1"/>
  <c r="M200" i="1" s="1"/>
  <c r="Y198" i="1"/>
  <c r="AB198" i="1" s="1"/>
  <c r="W198" i="1" s="1"/>
  <c r="R198" i="1" s="1"/>
  <c r="M198" i="1" s="1"/>
  <c r="Y197" i="1"/>
  <c r="AB197" i="1" s="1"/>
  <c r="W197" i="1" s="1"/>
  <c r="R197" i="1" s="1"/>
  <c r="M197" i="1" s="1"/>
  <c r="Y196" i="1"/>
  <c r="AB196" i="1" s="1"/>
  <c r="W196" i="1" s="1"/>
  <c r="R196" i="1" s="1"/>
  <c r="M196" i="1" s="1"/>
  <c r="Y195" i="1"/>
  <c r="AB195" i="1" s="1"/>
  <c r="W195" i="1" s="1"/>
  <c r="R195" i="1" s="1"/>
  <c r="M195" i="1" s="1"/>
  <c r="Y194" i="1"/>
  <c r="AB194" i="1" s="1"/>
  <c r="W194" i="1" s="1"/>
  <c r="R194" i="1" s="1"/>
  <c r="M194" i="1" s="1"/>
  <c r="Y193" i="1"/>
  <c r="AB193" i="1" s="1"/>
  <c r="W193" i="1" s="1"/>
  <c r="R193" i="1" s="1"/>
  <c r="M193" i="1" s="1"/>
  <c r="Y191" i="1"/>
  <c r="AB191" i="1" s="1"/>
  <c r="W191" i="1" s="1"/>
  <c r="R191" i="1" s="1"/>
  <c r="M191" i="1" s="1"/>
  <c r="Y190" i="1"/>
  <c r="AB190" i="1" s="1"/>
  <c r="W190" i="1" s="1"/>
  <c r="R190" i="1" s="1"/>
  <c r="M190" i="1" s="1"/>
  <c r="Y189" i="1"/>
  <c r="AB189" i="1" s="1"/>
  <c r="W189" i="1" s="1"/>
  <c r="R189" i="1" s="1"/>
  <c r="M189" i="1" s="1"/>
  <c r="Y188" i="1"/>
  <c r="AB188" i="1" s="1"/>
  <c r="W188" i="1" s="1"/>
  <c r="R188" i="1" s="1"/>
  <c r="M188" i="1" s="1"/>
  <c r="Y187" i="1"/>
  <c r="AB187" i="1" s="1"/>
  <c r="W187" i="1" s="1"/>
  <c r="R187" i="1" s="1"/>
  <c r="M187" i="1" s="1"/>
  <c r="Y185" i="1"/>
  <c r="AB185" i="1" s="1"/>
  <c r="W185" i="1" s="1"/>
  <c r="R185" i="1" s="1"/>
  <c r="M185" i="1" s="1"/>
  <c r="Y184" i="1"/>
  <c r="AB184" i="1" s="1"/>
  <c r="W184" i="1" s="1"/>
  <c r="R184" i="1" s="1"/>
  <c r="M184" i="1" s="1"/>
  <c r="Y183" i="1"/>
  <c r="AB183" i="1" s="1"/>
  <c r="W183" i="1" s="1"/>
  <c r="R183" i="1" s="1"/>
  <c r="M183" i="1" s="1"/>
  <c r="Y182" i="1"/>
  <c r="AB182" i="1" s="1"/>
  <c r="W182" i="1" s="1"/>
  <c r="R182" i="1" s="1"/>
  <c r="M182" i="1" s="1"/>
  <c r="Y181" i="1"/>
  <c r="AB181" i="1" s="1"/>
  <c r="W181" i="1" s="1"/>
  <c r="R181" i="1" s="1"/>
  <c r="M181" i="1" s="1"/>
  <c r="Y179" i="1"/>
  <c r="AB179" i="1" s="1"/>
  <c r="W179" i="1" s="1"/>
  <c r="R179" i="1" s="1"/>
  <c r="M179" i="1" s="1"/>
  <c r="Y178" i="1"/>
  <c r="AB178" i="1" s="1"/>
  <c r="W178" i="1" s="1"/>
  <c r="R178" i="1" s="1"/>
  <c r="M178" i="1" s="1"/>
  <c r="Y177" i="1"/>
  <c r="AB177" i="1" s="1"/>
  <c r="W177" i="1" s="1"/>
  <c r="R177" i="1" s="1"/>
  <c r="M177" i="1" s="1"/>
  <c r="Y176" i="1"/>
  <c r="AB176" i="1" s="1"/>
  <c r="W176" i="1" s="1"/>
  <c r="R176" i="1" s="1"/>
  <c r="M176" i="1" s="1"/>
  <c r="Y175" i="1"/>
  <c r="AB175" i="1" s="1"/>
  <c r="W175" i="1" s="1"/>
  <c r="R175" i="1" s="1"/>
  <c r="M175" i="1" s="1"/>
  <c r="Y173" i="1"/>
  <c r="AB173" i="1" s="1"/>
  <c r="W173" i="1" s="1"/>
  <c r="R173" i="1" s="1"/>
  <c r="M173" i="1" s="1"/>
  <c r="Y172" i="1"/>
  <c r="AB172" i="1" s="1"/>
  <c r="W172" i="1" s="1"/>
  <c r="R172" i="1" s="1"/>
  <c r="M172" i="1" s="1"/>
  <c r="Y171" i="1"/>
  <c r="AB171" i="1" s="1"/>
  <c r="W171" i="1" s="1"/>
  <c r="R171" i="1" s="1"/>
  <c r="M171" i="1" s="1"/>
  <c r="Y170" i="1"/>
  <c r="AB170" i="1" s="1"/>
  <c r="W170" i="1" s="1"/>
  <c r="R170" i="1" s="1"/>
  <c r="M170" i="1" s="1"/>
  <c r="Y169" i="1"/>
  <c r="AB169" i="1" s="1"/>
  <c r="W169" i="1" s="1"/>
  <c r="R169" i="1" s="1"/>
  <c r="M169" i="1" s="1"/>
  <c r="Y167" i="1"/>
  <c r="AB167" i="1" s="1"/>
  <c r="W167" i="1" s="1"/>
  <c r="R167" i="1" s="1"/>
  <c r="M167" i="1" s="1"/>
  <c r="Y166" i="1"/>
  <c r="AB166" i="1" s="1"/>
  <c r="W166" i="1" s="1"/>
  <c r="R166" i="1" s="1"/>
  <c r="M166" i="1" s="1"/>
  <c r="Y165" i="1"/>
  <c r="AB165" i="1" s="1"/>
  <c r="W165" i="1" s="1"/>
  <c r="R165" i="1" s="1"/>
  <c r="M165" i="1" s="1"/>
  <c r="Y164" i="1"/>
  <c r="AB164" i="1" s="1"/>
  <c r="W164" i="1" s="1"/>
  <c r="R164" i="1" s="1"/>
  <c r="M164" i="1" s="1"/>
  <c r="Y163" i="1"/>
  <c r="AB163" i="1" s="1"/>
  <c r="W163" i="1" s="1"/>
  <c r="R163" i="1" s="1"/>
  <c r="M163" i="1" s="1"/>
  <c r="Y160" i="1"/>
  <c r="AB160" i="1" s="1"/>
  <c r="W160" i="1" s="1"/>
  <c r="R160" i="1" s="1"/>
  <c r="M160" i="1" s="1"/>
  <c r="Y159" i="1"/>
  <c r="AB159" i="1" s="1"/>
  <c r="W159" i="1" s="1"/>
  <c r="R159" i="1" s="1"/>
  <c r="M159" i="1" s="1"/>
  <c r="Y158" i="1"/>
  <c r="AB158" i="1" s="1"/>
  <c r="W158" i="1" s="1"/>
  <c r="R158" i="1" s="1"/>
  <c r="M158" i="1" s="1"/>
  <c r="Y157" i="1"/>
  <c r="AB157" i="1" s="1"/>
  <c r="W157" i="1" s="1"/>
  <c r="R157" i="1" s="1"/>
  <c r="M157" i="1" s="1"/>
  <c r="Y156" i="1"/>
  <c r="AB156" i="1" s="1"/>
  <c r="W156" i="1" s="1"/>
  <c r="R156" i="1" s="1"/>
  <c r="M156" i="1" s="1"/>
  <c r="Y155" i="1"/>
  <c r="AB155" i="1" s="1"/>
  <c r="W155" i="1" s="1"/>
  <c r="R155" i="1" s="1"/>
  <c r="M155" i="1" s="1"/>
  <c r="Y106" i="1"/>
  <c r="Y105" i="1"/>
  <c r="Y103" i="1"/>
  <c r="W103" i="1" s="1"/>
  <c r="R103" i="1" s="1"/>
  <c r="M103" i="1" s="1"/>
  <c r="Y102" i="1"/>
  <c r="W102" i="1" s="1"/>
  <c r="R102" i="1" s="1"/>
  <c r="M102" i="1" s="1"/>
  <c r="Y98" i="1"/>
  <c r="AB98" i="1" s="1"/>
  <c r="W98" i="1" s="1"/>
  <c r="R98" i="1" s="1"/>
  <c r="M98" i="1" s="1"/>
  <c r="Y96" i="1"/>
  <c r="AB96" i="1" s="1"/>
  <c r="W96" i="1" s="1"/>
  <c r="R96" i="1" s="1"/>
  <c r="M96" i="1" s="1"/>
  <c r="Y95" i="1"/>
  <c r="AB95" i="1" s="1"/>
  <c r="W95" i="1" s="1"/>
  <c r="R95" i="1" s="1"/>
  <c r="M95" i="1" s="1"/>
  <c r="Y84" i="1"/>
  <c r="Y83" i="1"/>
  <c r="Y82" i="1"/>
  <c r="Y80" i="1"/>
  <c r="AB80" i="1" s="1"/>
  <c r="W80" i="1" s="1"/>
  <c r="R80" i="1" s="1"/>
  <c r="M80" i="1" s="1"/>
  <c r="Y79" i="1"/>
  <c r="AB79" i="1" s="1"/>
  <c r="W79" i="1" s="1"/>
  <c r="R79" i="1" s="1"/>
  <c r="M79" i="1" s="1"/>
  <c r="Y78" i="1"/>
  <c r="AB78" i="1" s="1"/>
  <c r="W78" i="1" s="1"/>
  <c r="R78" i="1" s="1"/>
  <c r="M78" i="1" s="1"/>
  <c r="Y76" i="1"/>
  <c r="AB76" i="1" s="1"/>
  <c r="W76" i="1" s="1"/>
  <c r="R76" i="1" s="1"/>
  <c r="M76" i="1" s="1"/>
  <c r="Y75" i="1"/>
  <c r="AB75" i="1" s="1"/>
  <c r="W75" i="1" s="1"/>
  <c r="R75" i="1" s="1"/>
  <c r="M75" i="1" s="1"/>
  <c r="Y74" i="1"/>
  <c r="AB74" i="1" s="1"/>
  <c r="W74" i="1" s="1"/>
  <c r="R74" i="1" s="1"/>
  <c r="M74" i="1" s="1"/>
  <c r="Y73" i="1"/>
  <c r="AB73" i="1" s="1"/>
  <c r="W73" i="1" s="1"/>
  <c r="R73" i="1" s="1"/>
  <c r="M73" i="1" s="1"/>
  <c r="Y72" i="1"/>
  <c r="AB72" i="1" s="1"/>
  <c r="W72" i="1" s="1"/>
  <c r="R72" i="1" s="1"/>
  <c r="M72" i="1" s="1"/>
  <c r="Y71" i="1"/>
  <c r="AB71" i="1" s="1"/>
  <c r="W71" i="1" s="1"/>
  <c r="R71" i="1" s="1"/>
  <c r="M71" i="1" s="1"/>
  <c r="Y70" i="1"/>
  <c r="AB70" i="1" s="1"/>
  <c r="W70" i="1" s="1"/>
  <c r="R70" i="1" s="1"/>
  <c r="M70" i="1" s="1"/>
  <c r="Y68" i="1"/>
  <c r="AB68" i="1" s="1"/>
  <c r="W68" i="1" s="1"/>
  <c r="R68" i="1" s="1"/>
  <c r="M68" i="1" s="1"/>
  <c r="Y67" i="1"/>
  <c r="AB67" i="1" s="1"/>
  <c r="W67" i="1" s="1"/>
  <c r="R67" i="1" s="1"/>
  <c r="M67" i="1" s="1"/>
  <c r="Y66" i="1"/>
  <c r="AB66" i="1" s="1"/>
  <c r="W66" i="1" s="1"/>
  <c r="R66" i="1" s="1"/>
  <c r="M66" i="1" s="1"/>
  <c r="Y64" i="1"/>
  <c r="AB64" i="1" s="1"/>
  <c r="W64" i="1" s="1"/>
  <c r="R64" i="1" s="1"/>
  <c r="M64" i="1" s="1"/>
  <c r="Y63" i="1"/>
  <c r="AB63" i="1" s="1"/>
  <c r="W63" i="1" s="1"/>
  <c r="R63" i="1" s="1"/>
  <c r="M63" i="1" s="1"/>
  <c r="Y62" i="1"/>
  <c r="AB62" i="1" s="1"/>
  <c r="W62" i="1" s="1"/>
  <c r="R62" i="1" s="1"/>
  <c r="M62" i="1" s="1"/>
  <c r="Y60" i="1"/>
  <c r="Y59" i="1"/>
  <c r="AB59" i="1" s="1"/>
  <c r="W59" i="1" s="1"/>
  <c r="R59" i="1" s="1"/>
  <c r="M59" i="1" s="1"/>
  <c r="Y58" i="1"/>
  <c r="AB58" i="1" s="1"/>
  <c r="W58" i="1" s="1"/>
  <c r="R58" i="1" s="1"/>
  <c r="M58" i="1" s="1"/>
  <c r="Y57" i="1"/>
  <c r="AB57" i="1" s="1"/>
  <c r="W57" i="1" s="1"/>
  <c r="R57" i="1" s="1"/>
  <c r="M57" i="1" s="1"/>
  <c r="Y56" i="1"/>
  <c r="AB56" i="1" s="1"/>
  <c r="W56" i="1" s="1"/>
  <c r="R56" i="1" s="1"/>
  <c r="M56" i="1" s="1"/>
  <c r="Y55" i="1"/>
  <c r="AB55" i="1" s="1"/>
  <c r="W55" i="1" s="1"/>
  <c r="R55" i="1" s="1"/>
  <c r="M55" i="1" s="1"/>
  <c r="Y54" i="1"/>
  <c r="AB54" i="1" s="1"/>
  <c r="W54" i="1" s="1"/>
  <c r="R54" i="1" s="1"/>
  <c r="M54" i="1" s="1"/>
  <c r="Y52" i="1"/>
  <c r="AB52" i="1" s="1"/>
  <c r="W52" i="1" s="1"/>
  <c r="R52" i="1" s="1"/>
  <c r="M52" i="1" s="1"/>
  <c r="Y51" i="1"/>
  <c r="AB51" i="1" s="1"/>
  <c r="W51" i="1" s="1"/>
  <c r="R51" i="1" s="1"/>
  <c r="M51" i="1" s="1"/>
  <c r="Y50" i="1"/>
  <c r="AB50" i="1" s="1"/>
  <c r="W50" i="1" s="1"/>
  <c r="R50" i="1" s="1"/>
  <c r="M50" i="1" s="1"/>
  <c r="Y48" i="1"/>
  <c r="AB48" i="1" s="1"/>
  <c r="W48" i="1" s="1"/>
  <c r="R48" i="1" s="1"/>
  <c r="M48" i="1" s="1"/>
  <c r="Y47" i="1"/>
  <c r="AB47" i="1" s="1"/>
  <c r="W47" i="1" s="1"/>
  <c r="R47" i="1" s="1"/>
  <c r="M47" i="1" s="1"/>
  <c r="Y46" i="1"/>
  <c r="AB46" i="1" s="1"/>
  <c r="W46" i="1" s="1"/>
  <c r="R46" i="1" s="1"/>
  <c r="M46" i="1" s="1"/>
  <c r="Y44" i="1"/>
  <c r="AB44" i="1" s="1"/>
  <c r="W44" i="1" s="1"/>
  <c r="R44" i="1" s="1"/>
  <c r="M44" i="1" s="1"/>
  <c r="Y43" i="1"/>
  <c r="AB43" i="1" s="1"/>
  <c r="W43" i="1" s="1"/>
  <c r="R43" i="1" s="1"/>
  <c r="M43" i="1" s="1"/>
  <c r="Y42" i="1"/>
  <c r="AB42" i="1" s="1"/>
  <c r="W42" i="1" s="1"/>
  <c r="R42" i="1" s="1"/>
  <c r="M42" i="1" s="1"/>
  <c r="Y40" i="1"/>
  <c r="AB40" i="1" s="1"/>
  <c r="W40" i="1" s="1"/>
  <c r="R40" i="1" s="1"/>
  <c r="M40" i="1" s="1"/>
  <c r="Y39" i="1"/>
  <c r="AB39" i="1" s="1"/>
  <c r="W39" i="1" s="1"/>
  <c r="R39" i="1" s="1"/>
  <c r="M39" i="1" s="1"/>
  <c r="Y38" i="1"/>
  <c r="AB38" i="1" s="1"/>
  <c r="W38" i="1" s="1"/>
  <c r="R38" i="1" s="1"/>
  <c r="M38" i="1" s="1"/>
  <c r="Y37" i="1"/>
  <c r="AB37" i="1" s="1"/>
  <c r="W37" i="1" s="1"/>
  <c r="R37" i="1" s="1"/>
  <c r="M37" i="1" s="1"/>
  <c r="Y36" i="1"/>
  <c r="Y35" i="1"/>
  <c r="AB35" i="1" s="1"/>
  <c r="W35" i="1" s="1"/>
  <c r="R35" i="1" s="1"/>
  <c r="M35" i="1" s="1"/>
  <c r="Y34" i="1"/>
  <c r="AB34" i="1" s="1"/>
  <c r="W34" i="1" s="1"/>
  <c r="R34" i="1" s="1"/>
  <c r="M34" i="1" s="1"/>
  <c r="Y32" i="1"/>
  <c r="AB32" i="1" s="1"/>
  <c r="W32" i="1" s="1"/>
  <c r="R32" i="1" s="1"/>
  <c r="M32" i="1" s="1"/>
  <c r="Y31" i="1"/>
  <c r="AB31" i="1" s="1"/>
  <c r="W31" i="1" s="1"/>
  <c r="R31" i="1" s="1"/>
  <c r="M31" i="1" s="1"/>
  <c r="Y30" i="1"/>
  <c r="AB30" i="1" s="1"/>
  <c r="W30" i="1" s="1"/>
  <c r="R30" i="1" s="1"/>
  <c r="M30" i="1" s="1"/>
  <c r="Y29" i="1"/>
  <c r="AB29" i="1" s="1"/>
  <c r="W29" i="1" s="1"/>
  <c r="R29" i="1" s="1"/>
  <c r="M29" i="1" s="1"/>
  <c r="Y28" i="1"/>
  <c r="Y27" i="1"/>
  <c r="AB27" i="1" s="1"/>
  <c r="W27" i="1" s="1"/>
  <c r="R27" i="1" s="1"/>
  <c r="M27" i="1" s="1"/>
  <c r="Y26" i="1"/>
  <c r="AB26" i="1" s="1"/>
  <c r="W26" i="1" s="1"/>
  <c r="R26" i="1" s="1"/>
  <c r="M26" i="1" s="1"/>
  <c r="Y20" i="1"/>
  <c r="Y19" i="1"/>
  <c r="AB19" i="1" s="1"/>
  <c r="W19" i="1" s="1"/>
  <c r="R19" i="1" s="1"/>
  <c r="M19" i="1" s="1"/>
  <c r="Y18" i="1"/>
  <c r="AB18" i="1" s="1"/>
  <c r="W18" i="1" s="1"/>
  <c r="R18" i="1" s="1"/>
  <c r="M18" i="1" s="1"/>
  <c r="Y16" i="1"/>
  <c r="Y15" i="1"/>
  <c r="Y14" i="1"/>
  <c r="AB14" i="1" s="1"/>
  <c r="W14" i="1" s="1"/>
  <c r="R14" i="1" s="1"/>
  <c r="M14" i="1" s="1"/>
  <c r="Y12" i="1"/>
  <c r="AB12" i="1" s="1"/>
  <c r="W12" i="1" s="1"/>
  <c r="R12" i="1" s="1"/>
  <c r="M12" i="1" s="1"/>
  <c r="Y11" i="1"/>
  <c r="Y10" i="1"/>
  <c r="Y5" i="1"/>
  <c r="Z504" i="1" l="1"/>
  <c r="Z506" i="1"/>
  <c r="Z590" i="1"/>
  <c r="Z403" i="1"/>
  <c r="Z377" i="1"/>
  <c r="Z423" i="1"/>
  <c r="Z419" i="1"/>
  <c r="Z489" i="1"/>
  <c r="AB60" i="1"/>
  <c r="W60" i="1" s="1"/>
  <c r="R60" i="1" s="1"/>
  <c r="M60" i="1" s="1"/>
  <c r="AB36" i="1"/>
  <c r="W36" i="1" s="1"/>
  <c r="R36" i="1" s="1"/>
  <c r="M36" i="1" s="1"/>
  <c r="AB28" i="1"/>
  <c r="W28" i="1" s="1"/>
  <c r="R28" i="1" s="1"/>
  <c r="M28" i="1" s="1"/>
  <c r="AB20" i="1"/>
  <c r="W20" i="1" s="1"/>
  <c r="R20" i="1" s="1"/>
  <c r="M20" i="1" s="1"/>
  <c r="AB15" i="1"/>
  <c r="W15" i="1" s="1"/>
  <c r="R15" i="1" s="1"/>
  <c r="M15" i="1" s="1"/>
  <c r="AB16" i="1"/>
  <c r="W16" i="1" s="1"/>
  <c r="R16" i="1" s="1"/>
  <c r="M16" i="1" s="1"/>
  <c r="AB11" i="1"/>
  <c r="W11" i="1" s="1"/>
  <c r="R11" i="1" s="1"/>
  <c r="M11" i="1" s="1"/>
  <c r="AB10" i="1"/>
  <c r="W10" i="1" s="1"/>
  <c r="R10" i="1" s="1"/>
  <c r="M10" i="1" s="1"/>
  <c r="Z234" i="1"/>
  <c r="Z412" i="1"/>
  <c r="Z391" i="1"/>
  <c r="Z376" i="1" l="1"/>
  <c r="AD651" i="1" l="1"/>
  <c r="AD652" i="1"/>
  <c r="AD650" i="1"/>
  <c r="AG654" i="1"/>
  <c r="AB654" i="1" s="1"/>
  <c r="W654" i="1" s="1"/>
  <c r="R654" i="1" s="1"/>
  <c r="M654" i="1" s="1"/>
  <c r="AG649" i="1"/>
  <c r="AB649" i="1" s="1"/>
  <c r="W649" i="1" s="1"/>
  <c r="R649" i="1" s="1"/>
  <c r="M649" i="1" s="1"/>
  <c r="AG647" i="1"/>
  <c r="AB647" i="1" s="1"/>
  <c r="W647" i="1" s="1"/>
  <c r="R647" i="1" s="1"/>
  <c r="M647" i="1" s="1"/>
  <c r="AG646" i="1"/>
  <c r="AB646" i="1" s="1"/>
  <c r="W646" i="1" s="1"/>
  <c r="R646" i="1" s="1"/>
  <c r="M646" i="1" s="1"/>
  <c r="AG645" i="1"/>
  <c r="AB645" i="1" s="1"/>
  <c r="W645" i="1" s="1"/>
  <c r="R645" i="1" s="1"/>
  <c r="M645" i="1" s="1"/>
  <c r="AG644" i="1"/>
  <c r="AB644" i="1" s="1"/>
  <c r="W644" i="1" s="1"/>
  <c r="R644" i="1" s="1"/>
  <c r="M644" i="1" s="1"/>
  <c r="AG642" i="1"/>
  <c r="AB642" i="1" s="1"/>
  <c r="W642" i="1" s="1"/>
  <c r="R642" i="1" s="1"/>
  <c r="M642" i="1" s="1"/>
  <c r="AG641" i="1"/>
  <c r="AB641" i="1" s="1"/>
  <c r="W641" i="1" s="1"/>
  <c r="R641" i="1" s="1"/>
  <c r="M641" i="1" s="1"/>
  <c r="AG640" i="1"/>
  <c r="AB640" i="1" s="1"/>
  <c r="W640" i="1" s="1"/>
  <c r="R640" i="1" s="1"/>
  <c r="M640" i="1" s="1"/>
  <c r="AG639" i="1"/>
  <c r="AB639" i="1" s="1"/>
  <c r="W639" i="1" s="1"/>
  <c r="R639" i="1" s="1"/>
  <c r="M639" i="1" s="1"/>
  <c r="AG637" i="1"/>
  <c r="AB637" i="1" s="1"/>
  <c r="W637" i="1" s="1"/>
  <c r="R637" i="1" s="1"/>
  <c r="M637" i="1" s="1"/>
  <c r="AG636" i="1"/>
  <c r="AB636" i="1" s="1"/>
  <c r="W636" i="1" s="1"/>
  <c r="R636" i="1" s="1"/>
  <c r="M636" i="1" s="1"/>
  <c r="AG634" i="1"/>
  <c r="AB634" i="1" s="1"/>
  <c r="W634" i="1" s="1"/>
  <c r="R634" i="1" s="1"/>
  <c r="M634" i="1" s="1"/>
  <c r="AG630" i="1"/>
  <c r="AB630" i="1" s="1"/>
  <c r="W630" i="1" s="1"/>
  <c r="R630" i="1" s="1"/>
  <c r="M630" i="1" s="1"/>
  <c r="AG629" i="1"/>
  <c r="AB629" i="1" s="1"/>
  <c r="W629" i="1" s="1"/>
  <c r="R629" i="1" s="1"/>
  <c r="M629" i="1" s="1"/>
  <c r="AG628" i="1"/>
  <c r="AB628" i="1" s="1"/>
  <c r="W628" i="1" s="1"/>
  <c r="R628" i="1" s="1"/>
  <c r="M628" i="1" s="1"/>
  <c r="AD632" i="1"/>
  <c r="AD633" i="1"/>
  <c r="AD631" i="1"/>
  <c r="AD621" i="1"/>
  <c r="AD622" i="1"/>
  <c r="AD623" i="1"/>
  <c r="AD624" i="1"/>
  <c r="AD620" i="1"/>
  <c r="AD609" i="1"/>
  <c r="AD610" i="1"/>
  <c r="AD608" i="1"/>
  <c r="AD626" i="1"/>
  <c r="AD618" i="1"/>
  <c r="AD616" i="1"/>
  <c r="AD614" i="1"/>
  <c r="AD612" i="1"/>
  <c r="AG625" i="1"/>
  <c r="AB625" i="1" s="1"/>
  <c r="W625" i="1" s="1"/>
  <c r="R625" i="1" s="1"/>
  <c r="M625" i="1" s="1"/>
  <c r="AG619" i="1"/>
  <c r="AB619" i="1" s="1"/>
  <c r="W619" i="1" s="1"/>
  <c r="R619" i="1" s="1"/>
  <c r="M619" i="1" s="1"/>
  <c r="AG617" i="1"/>
  <c r="AB617" i="1" s="1"/>
  <c r="W617" i="1" s="1"/>
  <c r="R617" i="1" s="1"/>
  <c r="M617" i="1" s="1"/>
  <c r="AG615" i="1"/>
  <c r="AB615" i="1" s="1"/>
  <c r="W615" i="1" s="1"/>
  <c r="R615" i="1" s="1"/>
  <c r="M615" i="1" s="1"/>
  <c r="AG613" i="1"/>
  <c r="AB613" i="1" s="1"/>
  <c r="W613" i="1" s="1"/>
  <c r="R613" i="1" s="1"/>
  <c r="M613" i="1" s="1"/>
  <c r="AG611" i="1"/>
  <c r="AB611" i="1" s="1"/>
  <c r="W611" i="1" s="1"/>
  <c r="R611" i="1" s="1"/>
  <c r="M611" i="1" s="1"/>
  <c r="AG607" i="1"/>
  <c r="AB607" i="1" s="1"/>
  <c r="W607" i="1" s="1"/>
  <c r="R607" i="1" s="1"/>
  <c r="M607" i="1" s="1"/>
  <c r="AG597" i="1"/>
  <c r="AB597" i="1" s="1"/>
  <c r="W597" i="1" s="1"/>
  <c r="R597" i="1" s="1"/>
  <c r="M597" i="1" s="1"/>
  <c r="AG594" i="1"/>
  <c r="AB594" i="1" s="1"/>
  <c r="W594" i="1" s="1"/>
  <c r="R594" i="1" s="1"/>
  <c r="M594" i="1" s="1"/>
  <c r="AG591" i="1"/>
  <c r="AB591" i="1" s="1"/>
  <c r="W591" i="1" s="1"/>
  <c r="R591" i="1" s="1"/>
  <c r="M591" i="1" s="1"/>
  <c r="AD593" i="1"/>
  <c r="AD592" i="1"/>
  <c r="AG587" i="1"/>
  <c r="AB587" i="1" s="1"/>
  <c r="W587" i="1" s="1"/>
  <c r="R587" i="1" s="1"/>
  <c r="M587" i="1" s="1"/>
  <c r="AG584" i="1"/>
  <c r="AB584" i="1" s="1"/>
  <c r="W584" i="1" s="1"/>
  <c r="R584" i="1" s="1"/>
  <c r="M584" i="1" s="1"/>
  <c r="AG581" i="1"/>
  <c r="AB581" i="1" s="1"/>
  <c r="W581" i="1" s="1"/>
  <c r="R581" i="1" s="1"/>
  <c r="M581" i="1" s="1"/>
  <c r="AG578" i="1"/>
  <c r="AB578" i="1" s="1"/>
  <c r="W578" i="1" s="1"/>
  <c r="R578" i="1" s="1"/>
  <c r="M578" i="1" s="1"/>
  <c r="AG572" i="1"/>
  <c r="AB572" i="1" s="1"/>
  <c r="W572" i="1" s="1"/>
  <c r="R572" i="1" s="1"/>
  <c r="M572" i="1" s="1"/>
  <c r="AG569" i="1"/>
  <c r="AB569" i="1" s="1"/>
  <c r="W569" i="1" s="1"/>
  <c r="R569" i="1" s="1"/>
  <c r="M569" i="1" s="1"/>
  <c r="AG566" i="1"/>
  <c r="AB566" i="1" s="1"/>
  <c r="W566" i="1" s="1"/>
  <c r="R566" i="1" s="1"/>
  <c r="M566" i="1" s="1"/>
  <c r="AG563" i="1"/>
  <c r="AB563" i="1" s="1"/>
  <c r="W563" i="1" s="1"/>
  <c r="R563" i="1" s="1"/>
  <c r="M563" i="1" s="1"/>
  <c r="AG560" i="1"/>
  <c r="AB560" i="1" s="1"/>
  <c r="W560" i="1" s="1"/>
  <c r="R560" i="1" s="1"/>
  <c r="M560" i="1" s="1"/>
  <c r="AG557" i="1"/>
  <c r="AB557" i="1" s="1"/>
  <c r="W557" i="1" s="1"/>
  <c r="R557" i="1" s="1"/>
  <c r="M557" i="1" s="1"/>
  <c r="AD589" i="1"/>
  <c r="AD588" i="1"/>
  <c r="AD574" i="1"/>
  <c r="AD575" i="1"/>
  <c r="AD576" i="1"/>
  <c r="AD577" i="1"/>
  <c r="AD573" i="1"/>
  <c r="AD532" i="1"/>
  <c r="AD533" i="1"/>
  <c r="AD534" i="1"/>
  <c r="AD535" i="1"/>
  <c r="AD536" i="1"/>
  <c r="AD539" i="1"/>
  <c r="AD540" i="1"/>
  <c r="AD541" i="1"/>
  <c r="AD542" i="1"/>
  <c r="AD543" i="1"/>
  <c r="AD538" i="1"/>
  <c r="AD555" i="1"/>
  <c r="AD554" i="1"/>
  <c r="AD599" i="1"/>
  <c r="AD598" i="1"/>
  <c r="AD596" i="1"/>
  <c r="AD595" i="1"/>
  <c r="AD586" i="1"/>
  <c r="AD585" i="1"/>
  <c r="AD583" i="1"/>
  <c r="AD582" i="1"/>
  <c r="AD580" i="1"/>
  <c r="AD579" i="1"/>
  <c r="AD571" i="1"/>
  <c r="AD570" i="1"/>
  <c r="AD568" i="1"/>
  <c r="AD567" i="1"/>
  <c r="AD565" i="1"/>
  <c r="AD564" i="1"/>
  <c r="AD562" i="1"/>
  <c r="AD561" i="1"/>
  <c r="AD559" i="1"/>
  <c r="AD558" i="1"/>
  <c r="AD552" i="1"/>
  <c r="AD551" i="1"/>
  <c r="AD549" i="1"/>
  <c r="AD548" i="1"/>
  <c r="AD546" i="1"/>
  <c r="AD545" i="1"/>
  <c r="AD530" i="1"/>
  <c r="AD529" i="1"/>
  <c r="AD527" i="1"/>
  <c r="AD526" i="1"/>
  <c r="AD524" i="1"/>
  <c r="AD523" i="1"/>
  <c r="AD521" i="1"/>
  <c r="AD520" i="1"/>
  <c r="AD518" i="1"/>
  <c r="AD517" i="1"/>
  <c r="AD515" i="1"/>
  <c r="AD514" i="1"/>
  <c r="AD512" i="1"/>
  <c r="AD511" i="1"/>
  <c r="AG553" i="1"/>
  <c r="AB553" i="1" s="1"/>
  <c r="W553" i="1" s="1"/>
  <c r="R553" i="1" s="1"/>
  <c r="M553" i="1" s="1"/>
  <c r="AG550" i="1"/>
  <c r="AB550" i="1" s="1"/>
  <c r="W550" i="1" s="1"/>
  <c r="R550" i="1" s="1"/>
  <c r="M550" i="1" s="1"/>
  <c r="AG547" i="1"/>
  <c r="AB547" i="1" s="1"/>
  <c r="W547" i="1" s="1"/>
  <c r="R547" i="1" s="1"/>
  <c r="M547" i="1" s="1"/>
  <c r="AG544" i="1"/>
  <c r="AB544" i="1" s="1"/>
  <c r="W544" i="1" s="1"/>
  <c r="R544" i="1" s="1"/>
  <c r="M544" i="1" s="1"/>
  <c r="AG537" i="1"/>
  <c r="AB537" i="1" s="1"/>
  <c r="W537" i="1" s="1"/>
  <c r="R537" i="1" s="1"/>
  <c r="M537" i="1" s="1"/>
  <c r="AG531" i="1"/>
  <c r="AB531" i="1" s="1"/>
  <c r="W531" i="1" s="1"/>
  <c r="R531" i="1" s="1"/>
  <c r="M531" i="1" s="1"/>
  <c r="AG528" i="1"/>
  <c r="AB528" i="1" s="1"/>
  <c r="W528" i="1" s="1"/>
  <c r="R528" i="1" s="1"/>
  <c r="M528" i="1" s="1"/>
  <c r="AG525" i="1"/>
  <c r="AB525" i="1" s="1"/>
  <c r="W525" i="1" s="1"/>
  <c r="R525" i="1" s="1"/>
  <c r="M525" i="1" s="1"/>
  <c r="AG522" i="1"/>
  <c r="AB522" i="1" s="1"/>
  <c r="W522" i="1" s="1"/>
  <c r="R522" i="1" s="1"/>
  <c r="M522" i="1" s="1"/>
  <c r="AG519" i="1"/>
  <c r="AB519" i="1" s="1"/>
  <c r="W519" i="1" s="1"/>
  <c r="R519" i="1" s="1"/>
  <c r="M519" i="1" s="1"/>
  <c r="AG516" i="1"/>
  <c r="AB516" i="1" s="1"/>
  <c r="W516" i="1" s="1"/>
  <c r="R516" i="1" s="1"/>
  <c r="M516" i="1" s="1"/>
  <c r="AG513" i="1"/>
  <c r="AB513" i="1" s="1"/>
  <c r="W513" i="1" s="1"/>
  <c r="R513" i="1" s="1"/>
  <c r="M513" i="1" s="1"/>
  <c r="AG510" i="1"/>
  <c r="AB510" i="1" s="1"/>
  <c r="W510" i="1" s="1"/>
  <c r="R510" i="1" s="1"/>
  <c r="M510" i="1" s="1"/>
  <c r="AG507" i="1"/>
  <c r="AB507" i="1" s="1"/>
  <c r="W507" i="1" s="1"/>
  <c r="R507" i="1" s="1"/>
  <c r="M507" i="1" s="1"/>
  <c r="AG505" i="1"/>
  <c r="AB505" i="1" s="1"/>
  <c r="W505" i="1" s="1"/>
  <c r="R505" i="1" s="1"/>
  <c r="M505" i="1" s="1"/>
  <c r="AD501" i="1"/>
  <c r="AD502" i="1"/>
  <c r="AD503" i="1"/>
  <c r="AD500" i="1"/>
  <c r="AD497" i="1"/>
  <c r="AD498" i="1"/>
  <c r="AD496" i="1"/>
  <c r="AD492" i="1"/>
  <c r="AD493" i="1"/>
  <c r="AD494" i="1"/>
  <c r="AD491" i="1"/>
  <c r="AG499" i="1"/>
  <c r="AB499" i="1" s="1"/>
  <c r="W499" i="1" s="1"/>
  <c r="R499" i="1" s="1"/>
  <c r="M499" i="1" s="1"/>
  <c r="AG495" i="1"/>
  <c r="AB495" i="1" s="1"/>
  <c r="W495" i="1" s="1"/>
  <c r="R495" i="1" s="1"/>
  <c r="M495" i="1" s="1"/>
  <c r="AG490" i="1"/>
  <c r="AB490" i="1" s="1"/>
  <c r="W490" i="1" s="1"/>
  <c r="R490" i="1" s="1"/>
  <c r="M490" i="1" s="1"/>
  <c r="AG488" i="1"/>
  <c r="AB488" i="1" s="1"/>
  <c r="W488" i="1" s="1"/>
  <c r="R488" i="1" s="1"/>
  <c r="M488" i="1" s="1"/>
  <c r="AG485" i="1"/>
  <c r="AB485" i="1" s="1"/>
  <c r="W485" i="1" s="1"/>
  <c r="R485" i="1" s="1"/>
  <c r="M485" i="1" s="1"/>
  <c r="AG482" i="1"/>
  <c r="AB482" i="1" s="1"/>
  <c r="W482" i="1" s="1"/>
  <c r="R482" i="1" s="1"/>
  <c r="M482" i="1" s="1"/>
  <c r="AG480" i="1"/>
  <c r="AB480" i="1" s="1"/>
  <c r="W480" i="1" s="1"/>
  <c r="R480" i="1" s="1"/>
  <c r="M480" i="1" s="1"/>
  <c r="AG479" i="1"/>
  <c r="AB479" i="1" s="1"/>
  <c r="W479" i="1" s="1"/>
  <c r="R479" i="1" s="1"/>
  <c r="M479" i="1" s="1"/>
  <c r="AG478" i="1"/>
  <c r="AB478" i="1" s="1"/>
  <c r="W478" i="1" s="1"/>
  <c r="R478" i="1" s="1"/>
  <c r="M478" i="1" s="1"/>
  <c r="AG477" i="1"/>
  <c r="AB477" i="1" s="1"/>
  <c r="W477" i="1" s="1"/>
  <c r="R477" i="1" s="1"/>
  <c r="M477" i="1" s="1"/>
  <c r="AG476" i="1"/>
  <c r="AB476" i="1" s="1"/>
  <c r="W476" i="1" s="1"/>
  <c r="R476" i="1" s="1"/>
  <c r="M476" i="1" s="1"/>
  <c r="AG475" i="1"/>
  <c r="AB475" i="1" s="1"/>
  <c r="W475" i="1" s="1"/>
  <c r="R475" i="1" s="1"/>
  <c r="M475" i="1" s="1"/>
  <c r="AG474" i="1"/>
  <c r="AB474" i="1" s="1"/>
  <c r="W474" i="1" s="1"/>
  <c r="R474" i="1" s="1"/>
  <c r="M474" i="1" s="1"/>
  <c r="AG473" i="1"/>
  <c r="AB473" i="1" s="1"/>
  <c r="W473" i="1" s="1"/>
  <c r="R473" i="1" s="1"/>
  <c r="M473" i="1" s="1"/>
  <c r="AG472" i="1"/>
  <c r="AB472" i="1" s="1"/>
  <c r="W472" i="1" s="1"/>
  <c r="R472" i="1" s="1"/>
  <c r="M472" i="1" s="1"/>
  <c r="AG471" i="1"/>
  <c r="AB471" i="1" s="1"/>
  <c r="W471" i="1" s="1"/>
  <c r="R471" i="1" s="1"/>
  <c r="M471" i="1" s="1"/>
  <c r="AG470" i="1"/>
  <c r="AB470" i="1" s="1"/>
  <c r="W470" i="1" s="1"/>
  <c r="R470" i="1" s="1"/>
  <c r="M470" i="1" s="1"/>
  <c r="AG469" i="1"/>
  <c r="AB469" i="1" s="1"/>
  <c r="W469" i="1" s="1"/>
  <c r="R469" i="1" s="1"/>
  <c r="M469" i="1" s="1"/>
  <c r="AG468" i="1"/>
  <c r="AB468" i="1" s="1"/>
  <c r="W468" i="1" s="1"/>
  <c r="R468" i="1" s="1"/>
  <c r="M468" i="1" s="1"/>
  <c r="AG467" i="1"/>
  <c r="AB467" i="1" s="1"/>
  <c r="W467" i="1" s="1"/>
  <c r="R467" i="1" s="1"/>
  <c r="M467" i="1" s="1"/>
  <c r="AG466" i="1"/>
  <c r="AB466" i="1" s="1"/>
  <c r="W466" i="1" s="1"/>
  <c r="R466" i="1" s="1"/>
  <c r="M466" i="1" s="1"/>
  <c r="AG465" i="1"/>
  <c r="AB465" i="1" s="1"/>
  <c r="W465" i="1" s="1"/>
  <c r="R465" i="1" s="1"/>
  <c r="M465" i="1" s="1"/>
  <c r="AD463" i="1"/>
  <c r="AD461" i="1"/>
  <c r="AD459" i="1"/>
  <c r="AD456" i="1"/>
  <c r="AD457" i="1"/>
  <c r="AD455" i="1"/>
  <c r="AD452" i="1"/>
  <c r="AD453" i="1"/>
  <c r="AD451" i="1"/>
  <c r="AD448" i="1"/>
  <c r="AD449" i="1"/>
  <c r="AD447" i="1"/>
  <c r="AD441" i="1"/>
  <c r="AD439" i="1"/>
  <c r="AD437" i="1"/>
  <c r="AD435" i="1"/>
  <c r="AD444" i="1"/>
  <c r="AD445" i="1"/>
  <c r="AD443" i="1"/>
  <c r="AD432" i="1"/>
  <c r="AD433" i="1"/>
  <c r="AD431" i="1"/>
  <c r="AD428" i="1"/>
  <c r="AD429" i="1"/>
  <c r="AD427" i="1"/>
  <c r="AG462" i="1"/>
  <c r="AB462" i="1" s="1"/>
  <c r="W462" i="1" s="1"/>
  <c r="R462" i="1" s="1"/>
  <c r="M462" i="1" s="1"/>
  <c r="AG460" i="1"/>
  <c r="AB460" i="1" s="1"/>
  <c r="W460" i="1" s="1"/>
  <c r="R460" i="1" s="1"/>
  <c r="M460" i="1" s="1"/>
  <c r="AG458" i="1"/>
  <c r="AB458" i="1" s="1"/>
  <c r="W458" i="1" s="1"/>
  <c r="R458" i="1" s="1"/>
  <c r="M458" i="1" s="1"/>
  <c r="AG454" i="1"/>
  <c r="AB454" i="1" s="1"/>
  <c r="W454" i="1" s="1"/>
  <c r="R454" i="1" s="1"/>
  <c r="M454" i="1" s="1"/>
  <c r="AG450" i="1"/>
  <c r="AB450" i="1" s="1"/>
  <c r="W450" i="1" s="1"/>
  <c r="R450" i="1" s="1"/>
  <c r="M450" i="1" s="1"/>
  <c r="AG446" i="1"/>
  <c r="AB446" i="1" s="1"/>
  <c r="W446" i="1" s="1"/>
  <c r="R446" i="1" s="1"/>
  <c r="M446" i="1" s="1"/>
  <c r="AG442" i="1"/>
  <c r="AB442" i="1" s="1"/>
  <c r="W442" i="1" s="1"/>
  <c r="R442" i="1" s="1"/>
  <c r="M442" i="1" s="1"/>
  <c r="AG440" i="1"/>
  <c r="AB440" i="1" s="1"/>
  <c r="W440" i="1" s="1"/>
  <c r="R440" i="1" s="1"/>
  <c r="M440" i="1" s="1"/>
  <c r="AG438" i="1"/>
  <c r="AB438" i="1" s="1"/>
  <c r="W438" i="1" s="1"/>
  <c r="R438" i="1" s="1"/>
  <c r="M438" i="1" s="1"/>
  <c r="AG436" i="1"/>
  <c r="AB436" i="1" s="1"/>
  <c r="W436" i="1" s="1"/>
  <c r="R436" i="1" s="1"/>
  <c r="M436" i="1" s="1"/>
  <c r="AG434" i="1"/>
  <c r="AB434" i="1" s="1"/>
  <c r="W434" i="1" s="1"/>
  <c r="R434" i="1" s="1"/>
  <c r="M434" i="1" s="1"/>
  <c r="AG430" i="1"/>
  <c r="AB430" i="1" s="1"/>
  <c r="W430" i="1" s="1"/>
  <c r="R430" i="1" s="1"/>
  <c r="M430" i="1" s="1"/>
  <c r="AG426" i="1"/>
  <c r="AB426" i="1" s="1"/>
  <c r="W426" i="1" s="1"/>
  <c r="R426" i="1" s="1"/>
  <c r="M426" i="1" s="1"/>
  <c r="AG424" i="1"/>
  <c r="AB424" i="1" s="1"/>
  <c r="W424" i="1" s="1"/>
  <c r="R424" i="1" s="1"/>
  <c r="M424" i="1" s="1"/>
  <c r="AG422" i="1"/>
  <c r="AB422" i="1" s="1"/>
  <c r="W422" i="1" s="1"/>
  <c r="R422" i="1" s="1"/>
  <c r="M422" i="1" s="1"/>
  <c r="AG421" i="1"/>
  <c r="AB421" i="1" s="1"/>
  <c r="W421" i="1" s="1"/>
  <c r="R421" i="1" s="1"/>
  <c r="M421" i="1" s="1"/>
  <c r="AG420" i="1"/>
  <c r="AB420" i="1" s="1"/>
  <c r="W420" i="1" s="1"/>
  <c r="R420" i="1" s="1"/>
  <c r="M420" i="1" s="1"/>
  <c r="AG418" i="1"/>
  <c r="AB418" i="1" s="1"/>
  <c r="W418" i="1" s="1"/>
  <c r="R418" i="1" s="1"/>
  <c r="M418" i="1" s="1"/>
  <c r="AG417" i="1"/>
  <c r="AB417" i="1" s="1"/>
  <c r="W417" i="1" s="1"/>
  <c r="R417" i="1" s="1"/>
  <c r="M417" i="1" s="1"/>
  <c r="AG416" i="1"/>
  <c r="AB416" i="1" s="1"/>
  <c r="W416" i="1" s="1"/>
  <c r="R416" i="1" s="1"/>
  <c r="M416" i="1" s="1"/>
  <c r="AG413" i="1"/>
  <c r="AB413" i="1" s="1"/>
  <c r="W413" i="1" s="1"/>
  <c r="R413" i="1" s="1"/>
  <c r="M413" i="1" s="1"/>
  <c r="AG411" i="1"/>
  <c r="AB411" i="1" s="1"/>
  <c r="W411" i="1" s="1"/>
  <c r="R411" i="1" s="1"/>
  <c r="M411" i="1" s="1"/>
  <c r="AG408" i="1"/>
  <c r="AB408" i="1" s="1"/>
  <c r="W408" i="1" s="1"/>
  <c r="R408" i="1" s="1"/>
  <c r="M408" i="1" s="1"/>
  <c r="AG404" i="1"/>
  <c r="AB404" i="1" s="1"/>
  <c r="W404" i="1" s="1"/>
  <c r="R404" i="1" s="1"/>
  <c r="M404" i="1" s="1"/>
  <c r="AG402" i="1"/>
  <c r="AB402" i="1" s="1"/>
  <c r="W402" i="1" s="1"/>
  <c r="R402" i="1" s="1"/>
  <c r="M402" i="1" s="1"/>
  <c r="AG401" i="1"/>
  <c r="AB401" i="1" s="1"/>
  <c r="W401" i="1" s="1"/>
  <c r="R401" i="1" s="1"/>
  <c r="M401" i="1" s="1"/>
  <c r="AG400" i="1"/>
  <c r="AB400" i="1" s="1"/>
  <c r="W400" i="1" s="1"/>
  <c r="R400" i="1" s="1"/>
  <c r="M400" i="1" s="1"/>
  <c r="AG397" i="1"/>
  <c r="AB397" i="1" s="1"/>
  <c r="W397" i="1" s="1"/>
  <c r="R397" i="1" s="1"/>
  <c r="M397" i="1" s="1"/>
  <c r="AG392" i="1"/>
  <c r="AB392" i="1" s="1"/>
  <c r="W392" i="1" s="1"/>
  <c r="R392" i="1" s="1"/>
  <c r="M392" i="1" s="1"/>
  <c r="AG388" i="1"/>
  <c r="AB388" i="1" s="1"/>
  <c r="W388" i="1" s="1"/>
  <c r="R388" i="1" s="1"/>
  <c r="M388" i="1" s="1"/>
  <c r="AG383" i="1"/>
  <c r="AB383" i="1" s="1"/>
  <c r="W383" i="1" s="1"/>
  <c r="R383" i="1" s="1"/>
  <c r="M383" i="1" s="1"/>
  <c r="AG378" i="1"/>
  <c r="AB378" i="1" s="1"/>
  <c r="W378" i="1" s="1"/>
  <c r="R378" i="1" s="1"/>
  <c r="M378" i="1" s="1"/>
  <c r="AD371" i="1"/>
  <c r="AD372" i="1"/>
  <c r="AD373" i="1"/>
  <c r="AD374" i="1"/>
  <c r="AD375" i="1"/>
  <c r="AD363" i="1"/>
  <c r="AD364" i="1"/>
  <c r="AD353" i="1"/>
  <c r="AD356" i="1"/>
  <c r="AD360" i="1"/>
  <c r="AD359" i="1"/>
  <c r="AD352" i="1"/>
  <c r="AD335" i="1"/>
  <c r="AD328" i="1"/>
  <c r="AD329" i="1"/>
  <c r="AD330" i="1"/>
  <c r="AD331" i="1"/>
  <c r="AD332" i="1"/>
  <c r="AD321" i="1"/>
  <c r="AD322" i="1"/>
  <c r="AD323" i="1"/>
  <c r="AD324" i="1"/>
  <c r="AD325" i="1"/>
  <c r="AD318" i="1"/>
  <c r="AD311" i="1"/>
  <c r="AD312" i="1"/>
  <c r="AD313" i="1"/>
  <c r="AD314" i="1"/>
  <c r="AD308" i="1"/>
  <c r="AD305" i="1"/>
  <c r="AD302" i="1"/>
  <c r="AD299" i="1"/>
  <c r="AD296" i="1"/>
  <c r="AD292" i="1"/>
  <c r="AD293" i="1"/>
  <c r="AD288" i="1"/>
  <c r="AD289" i="1"/>
  <c r="AD277" i="1"/>
  <c r="AD278" i="1"/>
  <c r="AD279" i="1"/>
  <c r="AD280" i="1"/>
  <c r="AD281" i="1"/>
  <c r="AD282" i="1"/>
  <c r="AD283" i="1"/>
  <c r="AD284" i="1"/>
  <c r="AD285" i="1"/>
  <c r="AD266" i="1"/>
  <c r="AD267" i="1"/>
  <c r="AD268" i="1"/>
  <c r="AD269" i="1"/>
  <c r="AD270" i="1"/>
  <c r="AD271" i="1"/>
  <c r="AD272" i="1"/>
  <c r="AD273" i="1"/>
  <c r="AD274" i="1"/>
  <c r="AD255" i="1"/>
  <c r="AD256" i="1"/>
  <c r="AD257" i="1"/>
  <c r="AD258" i="1"/>
  <c r="AD259" i="1"/>
  <c r="AD260" i="1"/>
  <c r="AD261" i="1"/>
  <c r="AD262" i="1"/>
  <c r="AD263" i="1"/>
  <c r="AD246" i="1"/>
  <c r="AD247" i="1"/>
  <c r="AD248" i="1"/>
  <c r="AD249" i="1"/>
  <c r="AD250" i="1"/>
  <c r="AD251" i="1"/>
  <c r="AD252" i="1"/>
  <c r="AD242" i="1"/>
  <c r="AD243" i="1"/>
  <c r="AD239" i="1"/>
  <c r="AD232" i="1"/>
  <c r="AD233" i="1"/>
  <c r="AD226" i="1"/>
  <c r="AD227" i="1"/>
  <c r="AD228" i="1"/>
  <c r="AD229" i="1"/>
  <c r="AD220" i="1"/>
  <c r="AD221" i="1"/>
  <c r="AD222" i="1"/>
  <c r="AD223" i="1"/>
  <c r="AD214" i="1"/>
  <c r="AD215" i="1"/>
  <c r="AD216" i="1"/>
  <c r="AD217" i="1"/>
  <c r="AD208" i="1"/>
  <c r="AD209" i="1"/>
  <c r="AD210" i="1"/>
  <c r="AD211" i="1"/>
  <c r="AD201" i="1"/>
  <c r="AD202" i="1"/>
  <c r="AD203" i="1"/>
  <c r="AD204" i="1"/>
  <c r="AD205" i="1"/>
  <c r="AD194" i="1"/>
  <c r="AD195" i="1"/>
  <c r="AD196" i="1"/>
  <c r="AD197" i="1"/>
  <c r="AD198" i="1"/>
  <c r="AD188" i="1"/>
  <c r="AD189" i="1"/>
  <c r="AD190" i="1"/>
  <c r="AD191" i="1"/>
  <c r="AD182" i="1"/>
  <c r="AD183" i="1"/>
  <c r="AD184" i="1"/>
  <c r="AD185" i="1"/>
  <c r="AD173" i="1"/>
  <c r="AD176" i="1"/>
  <c r="AD177" i="1"/>
  <c r="AD178" i="1"/>
  <c r="AD179" i="1"/>
  <c r="AD170" i="1"/>
  <c r="AD171" i="1"/>
  <c r="AD172" i="1"/>
  <c r="AD164" i="1"/>
  <c r="AD165" i="1"/>
  <c r="AD166" i="1"/>
  <c r="AD167" i="1"/>
  <c r="AD370" i="1"/>
  <c r="AD368" i="1"/>
  <c r="AD366" i="1"/>
  <c r="AD362" i="1"/>
  <c r="AD358" i="1"/>
  <c r="AD355" i="1"/>
  <c r="AD351" i="1"/>
  <c r="AD349" i="1"/>
  <c r="AD347" i="1"/>
  <c r="AD344" i="1"/>
  <c r="AD341" i="1"/>
  <c r="AD338" i="1"/>
  <c r="AD334" i="1"/>
  <c r="AD327" i="1"/>
  <c r="AD320" i="1"/>
  <c r="AD317" i="1"/>
  <c r="AD310" i="1"/>
  <c r="AD307" i="1"/>
  <c r="AD304" i="1"/>
  <c r="AD301" i="1"/>
  <c r="AD298" i="1"/>
  <c r="AD295" i="1"/>
  <c r="AD291" i="1"/>
  <c r="AD287" i="1"/>
  <c r="AD276" i="1"/>
  <c r="AD265" i="1"/>
  <c r="AD254" i="1"/>
  <c r="AD245" i="1"/>
  <c r="AD241" i="1"/>
  <c r="AD238" i="1"/>
  <c r="AD236" i="1"/>
  <c r="AD231" i="1"/>
  <c r="AD225" i="1"/>
  <c r="AD219" i="1"/>
  <c r="AD213" i="1"/>
  <c r="AD207" i="1"/>
  <c r="AD200" i="1"/>
  <c r="AD193" i="1"/>
  <c r="AD187" i="1"/>
  <c r="AD181" i="1"/>
  <c r="AD175" i="1"/>
  <c r="AD169" i="1"/>
  <c r="AD163" i="1"/>
  <c r="AG369" i="1"/>
  <c r="AB369" i="1" s="1"/>
  <c r="W369" i="1" s="1"/>
  <c r="R369" i="1" s="1"/>
  <c r="M369" i="1" s="1"/>
  <c r="AG367" i="1"/>
  <c r="AB367" i="1" s="1"/>
  <c r="W367" i="1" s="1"/>
  <c r="R367" i="1" s="1"/>
  <c r="M367" i="1" s="1"/>
  <c r="AG365" i="1"/>
  <c r="AB365" i="1" s="1"/>
  <c r="W365" i="1" s="1"/>
  <c r="R365" i="1" s="1"/>
  <c r="M365" i="1" s="1"/>
  <c r="AG361" i="1"/>
  <c r="AB361" i="1" s="1"/>
  <c r="W361" i="1" s="1"/>
  <c r="R361" i="1" s="1"/>
  <c r="M361" i="1" s="1"/>
  <c r="AG357" i="1"/>
  <c r="AB357" i="1" s="1"/>
  <c r="W357" i="1" s="1"/>
  <c r="R357" i="1" s="1"/>
  <c r="M357" i="1" s="1"/>
  <c r="AG354" i="1"/>
  <c r="AB354" i="1" s="1"/>
  <c r="W354" i="1" s="1"/>
  <c r="R354" i="1" s="1"/>
  <c r="M354" i="1" s="1"/>
  <c r="AG350" i="1"/>
  <c r="AB350" i="1" s="1"/>
  <c r="W350" i="1" s="1"/>
  <c r="R350" i="1" s="1"/>
  <c r="M350" i="1" s="1"/>
  <c r="AG348" i="1"/>
  <c r="AB348" i="1" s="1"/>
  <c r="W348" i="1" s="1"/>
  <c r="R348" i="1" s="1"/>
  <c r="M348" i="1" s="1"/>
  <c r="AG346" i="1"/>
  <c r="AB346" i="1" s="1"/>
  <c r="W346" i="1" s="1"/>
  <c r="R346" i="1" s="1"/>
  <c r="M346" i="1" s="1"/>
  <c r="AG343" i="1"/>
  <c r="AB343" i="1" s="1"/>
  <c r="W343" i="1" s="1"/>
  <c r="R343" i="1" s="1"/>
  <c r="M343" i="1" s="1"/>
  <c r="AG340" i="1"/>
  <c r="AB340" i="1" s="1"/>
  <c r="W340" i="1" s="1"/>
  <c r="R340" i="1" s="1"/>
  <c r="M340" i="1" s="1"/>
  <c r="AG337" i="1"/>
  <c r="AB337" i="1" s="1"/>
  <c r="W337" i="1" s="1"/>
  <c r="R337" i="1" s="1"/>
  <c r="M337" i="1" s="1"/>
  <c r="AG333" i="1"/>
  <c r="AB333" i="1" s="1"/>
  <c r="W333" i="1" s="1"/>
  <c r="R333" i="1" s="1"/>
  <c r="M333" i="1" s="1"/>
  <c r="AG326" i="1"/>
  <c r="AB326" i="1" s="1"/>
  <c r="W326" i="1" s="1"/>
  <c r="R326" i="1" s="1"/>
  <c r="M326" i="1" s="1"/>
  <c r="AG319" i="1"/>
  <c r="AB319" i="1" s="1"/>
  <c r="W319" i="1" s="1"/>
  <c r="R319" i="1" s="1"/>
  <c r="M319" i="1" s="1"/>
  <c r="AG316" i="1"/>
  <c r="AB316" i="1" s="1"/>
  <c r="W316" i="1" s="1"/>
  <c r="R316" i="1" s="1"/>
  <c r="M316" i="1" s="1"/>
  <c r="AG309" i="1"/>
  <c r="AB309" i="1" s="1"/>
  <c r="W309" i="1" s="1"/>
  <c r="R309" i="1" s="1"/>
  <c r="M309" i="1" s="1"/>
  <c r="AG306" i="1"/>
  <c r="AB306" i="1" s="1"/>
  <c r="W306" i="1" s="1"/>
  <c r="R306" i="1" s="1"/>
  <c r="M306" i="1" s="1"/>
  <c r="AG303" i="1"/>
  <c r="AB303" i="1" s="1"/>
  <c r="W303" i="1" s="1"/>
  <c r="R303" i="1" s="1"/>
  <c r="M303" i="1" s="1"/>
  <c r="AG300" i="1"/>
  <c r="AB300" i="1" s="1"/>
  <c r="W300" i="1" s="1"/>
  <c r="R300" i="1" s="1"/>
  <c r="M300" i="1" s="1"/>
  <c r="AG297" i="1"/>
  <c r="AB297" i="1" s="1"/>
  <c r="W297" i="1" s="1"/>
  <c r="R297" i="1" s="1"/>
  <c r="M297" i="1" s="1"/>
  <c r="AG294" i="1"/>
  <c r="AB294" i="1" s="1"/>
  <c r="W294" i="1" s="1"/>
  <c r="R294" i="1" s="1"/>
  <c r="M294" i="1" s="1"/>
  <c r="AG290" i="1"/>
  <c r="AB290" i="1" s="1"/>
  <c r="W290" i="1" s="1"/>
  <c r="R290" i="1" s="1"/>
  <c r="M290" i="1" s="1"/>
  <c r="AG286" i="1"/>
  <c r="AB286" i="1" s="1"/>
  <c r="W286" i="1" s="1"/>
  <c r="R286" i="1" s="1"/>
  <c r="M286" i="1" s="1"/>
  <c r="AG275" i="1"/>
  <c r="AB275" i="1" s="1"/>
  <c r="W275" i="1" s="1"/>
  <c r="R275" i="1" s="1"/>
  <c r="M275" i="1" s="1"/>
  <c r="AG264" i="1"/>
  <c r="AB264" i="1" s="1"/>
  <c r="W264" i="1" s="1"/>
  <c r="R264" i="1" s="1"/>
  <c r="M264" i="1" s="1"/>
  <c r="AG253" i="1"/>
  <c r="AB253" i="1" s="1"/>
  <c r="W253" i="1" s="1"/>
  <c r="R253" i="1" s="1"/>
  <c r="M253" i="1" s="1"/>
  <c r="AG244" i="1"/>
  <c r="AB244" i="1" s="1"/>
  <c r="W244" i="1" s="1"/>
  <c r="R244" i="1" s="1"/>
  <c r="M244" i="1" s="1"/>
  <c r="AG240" i="1"/>
  <c r="AB240" i="1" s="1"/>
  <c r="W240" i="1" s="1"/>
  <c r="R240" i="1" s="1"/>
  <c r="M240" i="1" s="1"/>
  <c r="AG237" i="1"/>
  <c r="AB237" i="1" s="1"/>
  <c r="W237" i="1" s="1"/>
  <c r="R237" i="1" s="1"/>
  <c r="M237" i="1" s="1"/>
  <c r="AG235" i="1"/>
  <c r="AB235" i="1" s="1"/>
  <c r="W235" i="1" s="1"/>
  <c r="R235" i="1" s="1"/>
  <c r="M235" i="1" s="1"/>
  <c r="AG230" i="1"/>
  <c r="AB230" i="1" s="1"/>
  <c r="W230" i="1" s="1"/>
  <c r="R230" i="1" s="1"/>
  <c r="M230" i="1" s="1"/>
  <c r="AG224" i="1"/>
  <c r="AB224" i="1" s="1"/>
  <c r="W224" i="1" s="1"/>
  <c r="R224" i="1" s="1"/>
  <c r="M224" i="1" s="1"/>
  <c r="AG218" i="1"/>
  <c r="AB218" i="1" s="1"/>
  <c r="W218" i="1" s="1"/>
  <c r="R218" i="1" s="1"/>
  <c r="M218" i="1" s="1"/>
  <c r="AG212" i="1"/>
  <c r="AB212" i="1" s="1"/>
  <c r="W212" i="1" s="1"/>
  <c r="R212" i="1" s="1"/>
  <c r="M212" i="1" s="1"/>
  <c r="AG206" i="1"/>
  <c r="AB206" i="1" s="1"/>
  <c r="W206" i="1" s="1"/>
  <c r="R206" i="1" s="1"/>
  <c r="M206" i="1" s="1"/>
  <c r="AG199" i="1"/>
  <c r="AB199" i="1" s="1"/>
  <c r="W199" i="1" s="1"/>
  <c r="R199" i="1" s="1"/>
  <c r="M199" i="1" s="1"/>
  <c r="AG192" i="1"/>
  <c r="AB192" i="1" s="1"/>
  <c r="W192" i="1" s="1"/>
  <c r="R192" i="1" s="1"/>
  <c r="M192" i="1" s="1"/>
  <c r="AG186" i="1"/>
  <c r="AB186" i="1" s="1"/>
  <c r="W186" i="1" s="1"/>
  <c r="R186" i="1" s="1"/>
  <c r="M186" i="1" s="1"/>
  <c r="AG180" i="1"/>
  <c r="AB180" i="1" s="1"/>
  <c r="W180" i="1" s="1"/>
  <c r="R180" i="1" s="1"/>
  <c r="M180" i="1" s="1"/>
  <c r="AG174" i="1"/>
  <c r="AB174" i="1" s="1"/>
  <c r="W174" i="1" s="1"/>
  <c r="R174" i="1" s="1"/>
  <c r="M174" i="1" s="1"/>
  <c r="AG168" i="1"/>
  <c r="AB168" i="1" s="1"/>
  <c r="W168" i="1" s="1"/>
  <c r="R168" i="1" s="1"/>
  <c r="M168" i="1" s="1"/>
  <c r="AG162" i="1"/>
  <c r="AB162" i="1" s="1"/>
  <c r="W162" i="1" s="1"/>
  <c r="R162" i="1" s="1"/>
  <c r="M162" i="1" s="1"/>
  <c r="AD156" i="1"/>
  <c r="AD157" i="1"/>
  <c r="AD158" i="1"/>
  <c r="AD159" i="1"/>
  <c r="AD160" i="1"/>
  <c r="AD155" i="1"/>
  <c r="AD147" i="1"/>
  <c r="AD148" i="1"/>
  <c r="AD149" i="1"/>
  <c r="AD150" i="1"/>
  <c r="AD151" i="1"/>
  <c r="AD146" i="1"/>
  <c r="AD144" i="1"/>
  <c r="AD142" i="1"/>
  <c r="AD141" i="1"/>
  <c r="AD139" i="1"/>
  <c r="AD138" i="1"/>
  <c r="AD133" i="1"/>
  <c r="AD134" i="1"/>
  <c r="AD135" i="1"/>
  <c r="AD136" i="1"/>
  <c r="AD132" i="1"/>
  <c r="AD127" i="1"/>
  <c r="AD128" i="1"/>
  <c r="AD129" i="1"/>
  <c r="AD130" i="1"/>
  <c r="AD126" i="1"/>
  <c r="AD120" i="1"/>
  <c r="AD121" i="1"/>
  <c r="AD122" i="1"/>
  <c r="AD123" i="1"/>
  <c r="AD124" i="1"/>
  <c r="AD119" i="1"/>
  <c r="AD113" i="1"/>
  <c r="AD114" i="1"/>
  <c r="AD115" i="1"/>
  <c r="AD116" i="1"/>
  <c r="AD117" i="1"/>
  <c r="AD112" i="1"/>
  <c r="AD110" i="1"/>
  <c r="AD5" i="1"/>
  <c r="AD8" i="1"/>
  <c r="AG154" i="1"/>
  <c r="AB154" i="1" s="1"/>
  <c r="W154" i="1" s="1"/>
  <c r="R154" i="1" s="1"/>
  <c r="M154" i="1" s="1"/>
  <c r="AG152" i="1"/>
  <c r="AB152" i="1" s="1"/>
  <c r="W152" i="1" s="1"/>
  <c r="R152" i="1" s="1"/>
  <c r="M152" i="1" s="1"/>
  <c r="AG145" i="1"/>
  <c r="AB145" i="1" s="1"/>
  <c r="W145" i="1" s="1"/>
  <c r="R145" i="1" s="1"/>
  <c r="M145" i="1" s="1"/>
  <c r="AG143" i="1"/>
  <c r="AB143" i="1" s="1"/>
  <c r="W143" i="1" s="1"/>
  <c r="R143" i="1" s="1"/>
  <c r="M143" i="1" s="1"/>
  <c r="AG140" i="1"/>
  <c r="AB140" i="1" s="1"/>
  <c r="W140" i="1" s="1"/>
  <c r="R140" i="1" s="1"/>
  <c r="M140" i="1" s="1"/>
  <c r="AG137" i="1"/>
  <c r="AB137" i="1" s="1"/>
  <c r="W137" i="1" s="1"/>
  <c r="R137" i="1" s="1"/>
  <c r="M137" i="1" s="1"/>
  <c r="AG131" i="1"/>
  <c r="AB131" i="1" s="1"/>
  <c r="W131" i="1" s="1"/>
  <c r="R131" i="1" s="1"/>
  <c r="M131" i="1" s="1"/>
  <c r="AG125" i="1"/>
  <c r="AB125" i="1" s="1"/>
  <c r="W125" i="1" s="1"/>
  <c r="R125" i="1" s="1"/>
  <c r="M125" i="1" s="1"/>
  <c r="AG118" i="1"/>
  <c r="AB118" i="1" s="1"/>
  <c r="W118" i="1" s="1"/>
  <c r="R118" i="1" s="1"/>
  <c r="M118" i="1" s="1"/>
  <c r="AG111" i="1"/>
  <c r="AB111" i="1" s="1"/>
  <c r="W111" i="1" s="1"/>
  <c r="R111" i="1" s="1"/>
  <c r="M111" i="1" s="1"/>
  <c r="AG109" i="1"/>
  <c r="AB109" i="1" s="1"/>
  <c r="W109" i="1" s="1"/>
  <c r="R109" i="1" s="1"/>
  <c r="M109" i="1" s="1"/>
  <c r="AD153" i="1"/>
  <c r="AD106" i="1"/>
  <c r="AD105" i="1"/>
  <c r="AD103" i="1"/>
  <c r="AD102" i="1"/>
  <c r="AD96" i="1"/>
  <c r="AD95" i="1"/>
  <c r="AD98" i="1"/>
  <c r="AD89" i="1"/>
  <c r="AG104" i="1"/>
  <c r="AB104" i="1" s="1"/>
  <c r="W104" i="1" s="1"/>
  <c r="R104" i="1" s="1"/>
  <c r="M104" i="1" s="1"/>
  <c r="AG101" i="1"/>
  <c r="AB101" i="1" s="1"/>
  <c r="W101" i="1" s="1"/>
  <c r="R101" i="1" s="1"/>
  <c r="M101" i="1" s="1"/>
  <c r="AG99" i="1"/>
  <c r="AB99" i="1" s="1"/>
  <c r="W99" i="1" s="1"/>
  <c r="R99" i="1" s="1"/>
  <c r="M99" i="1" s="1"/>
  <c r="AG97" i="1"/>
  <c r="AB97" i="1" s="1"/>
  <c r="W97" i="1" s="1"/>
  <c r="R97" i="1" s="1"/>
  <c r="M97" i="1" s="1"/>
  <c r="AG94" i="1"/>
  <c r="AB94" i="1" s="1"/>
  <c r="W94" i="1" s="1"/>
  <c r="R94" i="1" s="1"/>
  <c r="M94" i="1" s="1"/>
  <c r="AG90" i="1"/>
  <c r="AB90" i="1" s="1"/>
  <c r="W90" i="1" s="1"/>
  <c r="R90" i="1" s="1"/>
  <c r="M90" i="1" s="1"/>
  <c r="AB88" i="1"/>
  <c r="W88" i="1" s="1"/>
  <c r="R88" i="1" s="1"/>
  <c r="M88" i="1" s="1"/>
  <c r="AG86" i="1"/>
  <c r="AB86" i="1" s="1"/>
  <c r="W86" i="1" s="1"/>
  <c r="R86" i="1" s="1"/>
  <c r="M86" i="1" s="1"/>
  <c r="AD87" i="1"/>
  <c r="AD84" i="1"/>
  <c r="AD83" i="1"/>
  <c r="AD79" i="1"/>
  <c r="AD80" i="1"/>
  <c r="AD71" i="1"/>
  <c r="AD72" i="1"/>
  <c r="AD73" i="1"/>
  <c r="AD74" i="1"/>
  <c r="AD75" i="1"/>
  <c r="AD76" i="1"/>
  <c r="AD70" i="1"/>
  <c r="AD78" i="1"/>
  <c r="AD82" i="1"/>
  <c r="AD67" i="1"/>
  <c r="AD68" i="1"/>
  <c r="AD66" i="1"/>
  <c r="AD63" i="1"/>
  <c r="AD64" i="1"/>
  <c r="AD62" i="1"/>
  <c r="AD55" i="1"/>
  <c r="AD56" i="1"/>
  <c r="AD57" i="1"/>
  <c r="AD58" i="1"/>
  <c r="AD59" i="1"/>
  <c r="AD60" i="1"/>
  <c r="AD54" i="1"/>
  <c r="AD51" i="1"/>
  <c r="AD52" i="1"/>
  <c r="AD50" i="1"/>
  <c r="AD47" i="1"/>
  <c r="AD48" i="1"/>
  <c r="AD46" i="1"/>
  <c r="AD43" i="1"/>
  <c r="AD44" i="1"/>
  <c r="AD42" i="1"/>
  <c r="AD35" i="1"/>
  <c r="AD36" i="1"/>
  <c r="AD37" i="1"/>
  <c r="AD38" i="1"/>
  <c r="AD39" i="1"/>
  <c r="AD40" i="1"/>
  <c r="AD34" i="1"/>
  <c r="AD27" i="1"/>
  <c r="AD28" i="1"/>
  <c r="AD29" i="1"/>
  <c r="AD30" i="1"/>
  <c r="AD31" i="1"/>
  <c r="AD32" i="1"/>
  <c r="AD26" i="1"/>
  <c r="AD23" i="1"/>
  <c r="AD24" i="1"/>
  <c r="AD22" i="1"/>
  <c r="AD19" i="1"/>
  <c r="AD20" i="1"/>
  <c r="AD18" i="1"/>
  <c r="AG81" i="1"/>
  <c r="AB81" i="1" s="1"/>
  <c r="W81" i="1" s="1"/>
  <c r="R81" i="1" s="1"/>
  <c r="M81" i="1" s="1"/>
  <c r="AG77" i="1"/>
  <c r="AB77" i="1" s="1"/>
  <c r="W77" i="1" s="1"/>
  <c r="R77" i="1" s="1"/>
  <c r="M77" i="1" s="1"/>
  <c r="AG69" i="1"/>
  <c r="AB69" i="1" s="1"/>
  <c r="W69" i="1" s="1"/>
  <c r="R69" i="1" s="1"/>
  <c r="M69" i="1" s="1"/>
  <c r="AG65" i="1"/>
  <c r="AB65" i="1" s="1"/>
  <c r="W65" i="1" s="1"/>
  <c r="R65" i="1" s="1"/>
  <c r="M65" i="1" s="1"/>
  <c r="AG61" i="1"/>
  <c r="AB61" i="1" s="1"/>
  <c r="W61" i="1" s="1"/>
  <c r="R61" i="1" s="1"/>
  <c r="M61" i="1" s="1"/>
  <c r="AG53" i="1"/>
  <c r="AB53" i="1" s="1"/>
  <c r="W53" i="1" s="1"/>
  <c r="R53" i="1" s="1"/>
  <c r="M53" i="1" s="1"/>
  <c r="AG49" i="1"/>
  <c r="AB49" i="1" s="1"/>
  <c r="W49" i="1" s="1"/>
  <c r="R49" i="1" s="1"/>
  <c r="M49" i="1" s="1"/>
  <c r="AG45" i="1"/>
  <c r="AB45" i="1" s="1"/>
  <c r="W45" i="1" s="1"/>
  <c r="R45" i="1" s="1"/>
  <c r="M45" i="1" s="1"/>
  <c r="AG41" i="1"/>
  <c r="AB41" i="1" s="1"/>
  <c r="W41" i="1" s="1"/>
  <c r="R41" i="1" s="1"/>
  <c r="M41" i="1" s="1"/>
  <c r="AG33" i="1"/>
  <c r="AB33" i="1" s="1"/>
  <c r="W33" i="1" s="1"/>
  <c r="R33" i="1" s="1"/>
  <c r="M33" i="1" s="1"/>
  <c r="AG25" i="1"/>
  <c r="AB25" i="1" s="1"/>
  <c r="W25" i="1" s="1"/>
  <c r="R25" i="1" s="1"/>
  <c r="M25" i="1" s="1"/>
  <c r="AG21" i="1"/>
  <c r="AB21" i="1" s="1"/>
  <c r="W21" i="1" s="1"/>
  <c r="R21" i="1" s="1"/>
  <c r="M21" i="1" s="1"/>
  <c r="AG17" i="1"/>
  <c r="AB17" i="1" s="1"/>
  <c r="W17" i="1" s="1"/>
  <c r="R17" i="1" s="1"/>
  <c r="M17" i="1" s="1"/>
  <c r="AG13" i="1"/>
  <c r="AB13" i="1" s="1"/>
  <c r="W13" i="1" s="1"/>
  <c r="R13" i="1" s="1"/>
  <c r="M13" i="1" s="1"/>
  <c r="AG9" i="1"/>
  <c r="AB9" i="1" s="1"/>
  <c r="W9" i="1" s="1"/>
  <c r="R9" i="1" s="1"/>
  <c r="M9" i="1" s="1"/>
  <c r="AG7" i="1"/>
  <c r="AB7" i="1" s="1"/>
  <c r="W7" i="1" s="1"/>
  <c r="R7" i="1" s="1"/>
  <c r="M7" i="1" s="1"/>
  <c r="AD15" i="1"/>
  <c r="AD16" i="1"/>
  <c r="AD14" i="1"/>
  <c r="AD11" i="1"/>
  <c r="AD12" i="1"/>
  <c r="AD10" i="1"/>
  <c r="AG4" i="1"/>
  <c r="AB4" i="1" s="1"/>
  <c r="W4" i="1" s="1"/>
  <c r="R4" i="1" s="1"/>
  <c r="M4" i="1" s="1"/>
  <c r="D653" i="1"/>
  <c r="F654" i="1" s="1"/>
  <c r="D648" i="1"/>
  <c r="F650" i="1" s="1"/>
  <c r="I650" i="1" s="1"/>
  <c r="D643" i="1"/>
  <c r="F647" i="1" s="1"/>
  <c r="D638" i="1"/>
  <c r="F640" i="1" s="1"/>
  <c r="D635" i="1"/>
  <c r="D627" i="1"/>
  <c r="F629" i="1" s="1"/>
  <c r="D600" i="1"/>
  <c r="F620" i="1" s="1"/>
  <c r="D508" i="1"/>
  <c r="F586" i="1" s="1"/>
  <c r="D506" i="1"/>
  <c r="F507" i="1" s="1"/>
  <c r="D504" i="1"/>
  <c r="F505" i="1" s="1"/>
  <c r="D489" i="1"/>
  <c r="F501" i="1" s="1"/>
  <c r="I501" i="1" s="1"/>
  <c r="D464" i="1"/>
  <c r="F474" i="1" s="1"/>
  <c r="D425" i="1"/>
  <c r="F437" i="1" s="1"/>
  <c r="I437" i="1" s="1"/>
  <c r="K437" i="1" s="1"/>
  <c r="D376" i="1"/>
  <c r="F379" i="1" s="1"/>
  <c r="I379" i="1" s="1"/>
  <c r="K379" i="1" s="1"/>
  <c r="L379" i="1" s="1"/>
  <c r="D345" i="1"/>
  <c r="F351" i="1" s="1"/>
  <c r="I351" i="1" s="1"/>
  <c r="K351" i="1" s="1"/>
  <c r="D107" i="1"/>
  <c r="F330" i="1" s="1"/>
  <c r="I330" i="1" s="1"/>
  <c r="D85" i="1"/>
  <c r="F102" i="1" s="1"/>
  <c r="I102" i="1" s="1"/>
  <c r="K102" i="1" s="1"/>
  <c r="D6" i="1"/>
  <c r="F18" i="1" s="1"/>
  <c r="I18" i="1" s="1"/>
  <c r="K18" i="1" s="1"/>
  <c r="D3" i="1"/>
  <c r="F4" i="1" s="1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Z18" i="1" l="1"/>
  <c r="AA18" i="1" s="1"/>
  <c r="V18" i="1" s="1"/>
  <c r="P18" i="1"/>
  <c r="Z330" i="1"/>
  <c r="AA330" i="1" s="1"/>
  <c r="V330" i="1" s="1"/>
  <c r="P330" i="1"/>
  <c r="K330" i="1"/>
  <c r="Z351" i="1"/>
  <c r="AA351" i="1" s="1"/>
  <c r="P351" i="1"/>
  <c r="U351" i="1"/>
  <c r="Z102" i="1"/>
  <c r="AA102" i="1" s="1"/>
  <c r="P102" i="1"/>
  <c r="U102" i="1"/>
  <c r="Z437" i="1"/>
  <c r="AA437" i="1" s="1"/>
  <c r="P437" i="1"/>
  <c r="U437" i="1"/>
  <c r="I505" i="1"/>
  <c r="I507" i="1"/>
  <c r="I640" i="1"/>
  <c r="I647" i="1"/>
  <c r="I474" i="1"/>
  <c r="K474" i="1" s="1"/>
  <c r="I654" i="1"/>
  <c r="K654" i="1" s="1"/>
  <c r="K653" i="1" s="1"/>
  <c r="F611" i="1"/>
  <c r="F616" i="1"/>
  <c r="I616" i="1" s="1"/>
  <c r="K616" i="1" s="1"/>
  <c r="F623" i="1"/>
  <c r="I623" i="1" s="1"/>
  <c r="F617" i="1"/>
  <c r="F615" i="1"/>
  <c r="F607" i="1"/>
  <c r="F619" i="1"/>
  <c r="F601" i="1"/>
  <c r="F618" i="1"/>
  <c r="I618" i="1" s="1"/>
  <c r="K618" i="1" s="1"/>
  <c r="F608" i="1"/>
  <c r="I608" i="1" s="1"/>
  <c r="K608" i="1" s="1"/>
  <c r="F609" i="1"/>
  <c r="I609" i="1" s="1"/>
  <c r="K609" i="1" s="1"/>
  <c r="F621" i="1"/>
  <c r="I621" i="1" s="1"/>
  <c r="F610" i="1"/>
  <c r="I610" i="1" s="1"/>
  <c r="K610" i="1" s="1"/>
  <c r="F622" i="1"/>
  <c r="I622" i="1" s="1"/>
  <c r="F612" i="1"/>
  <c r="I612" i="1" s="1"/>
  <c r="K612" i="1" s="1"/>
  <c r="F624" i="1"/>
  <c r="I624" i="1" s="1"/>
  <c r="F613" i="1"/>
  <c r="F625" i="1"/>
  <c r="F614" i="1"/>
  <c r="I614" i="1" s="1"/>
  <c r="K614" i="1" s="1"/>
  <c r="F626" i="1"/>
  <c r="I626" i="1" s="1"/>
  <c r="F628" i="1"/>
  <c r="F630" i="1"/>
  <c r="F532" i="1"/>
  <c r="I532" i="1" s="1"/>
  <c r="F631" i="1"/>
  <c r="I631" i="1" s="1"/>
  <c r="F568" i="1"/>
  <c r="I568" i="1" s="1"/>
  <c r="K568" i="1" s="1"/>
  <c r="F632" i="1"/>
  <c r="I632" i="1" s="1"/>
  <c r="F633" i="1"/>
  <c r="I633" i="1" s="1"/>
  <c r="F634" i="1"/>
  <c r="F528" i="1"/>
  <c r="F564" i="1"/>
  <c r="I564" i="1" s="1"/>
  <c r="K564" i="1" s="1"/>
  <c r="F537" i="1"/>
  <c r="F540" i="1"/>
  <c r="I540" i="1" s="1"/>
  <c r="K540" i="1" s="1"/>
  <c r="F576" i="1"/>
  <c r="I576" i="1" s="1"/>
  <c r="K576" i="1" s="1"/>
  <c r="F575" i="1"/>
  <c r="I575" i="1" s="1"/>
  <c r="K575" i="1" s="1"/>
  <c r="F544" i="1"/>
  <c r="F580" i="1"/>
  <c r="I580" i="1" s="1"/>
  <c r="K580" i="1" s="1"/>
  <c r="F573" i="1"/>
  <c r="I573" i="1" s="1"/>
  <c r="K573" i="1" s="1"/>
  <c r="F539" i="1"/>
  <c r="I539" i="1" s="1"/>
  <c r="K539" i="1" s="1"/>
  <c r="F513" i="1"/>
  <c r="F549" i="1"/>
  <c r="I549" i="1" s="1"/>
  <c r="K549" i="1" s="1"/>
  <c r="F585" i="1"/>
  <c r="I585" i="1" s="1"/>
  <c r="K585" i="1" s="1"/>
  <c r="F515" i="1"/>
  <c r="I515" i="1" s="1"/>
  <c r="F551" i="1"/>
  <c r="I551" i="1" s="1"/>
  <c r="K551" i="1" s="1"/>
  <c r="F587" i="1"/>
  <c r="F516" i="1"/>
  <c r="F552" i="1"/>
  <c r="I552" i="1" s="1"/>
  <c r="K552" i="1" s="1"/>
  <c r="F588" i="1"/>
  <c r="I588" i="1" s="1"/>
  <c r="F520" i="1"/>
  <c r="I520" i="1" s="1"/>
  <c r="F556" i="1"/>
  <c r="F597" i="1"/>
  <c r="F525" i="1"/>
  <c r="F561" i="1"/>
  <c r="I561" i="1" s="1"/>
  <c r="K561" i="1" s="1"/>
  <c r="F527" i="1"/>
  <c r="I527" i="1" s="1"/>
  <c r="K527" i="1" s="1"/>
  <c r="F563" i="1"/>
  <c r="F514" i="1"/>
  <c r="I514" i="1" s="1"/>
  <c r="F526" i="1"/>
  <c r="I526" i="1" s="1"/>
  <c r="K526" i="1" s="1"/>
  <c r="F538" i="1"/>
  <c r="I538" i="1" s="1"/>
  <c r="K538" i="1" s="1"/>
  <c r="F550" i="1"/>
  <c r="F562" i="1"/>
  <c r="I562" i="1" s="1"/>
  <c r="K562" i="1" s="1"/>
  <c r="F574" i="1"/>
  <c r="I574" i="1" s="1"/>
  <c r="K574" i="1" s="1"/>
  <c r="F517" i="1"/>
  <c r="I517" i="1" s="1"/>
  <c r="K517" i="1" s="1"/>
  <c r="F529" i="1"/>
  <c r="I529" i="1" s="1"/>
  <c r="K529" i="1" s="1"/>
  <c r="F541" i="1"/>
  <c r="I541" i="1" s="1"/>
  <c r="K541" i="1" s="1"/>
  <c r="F553" i="1"/>
  <c r="F565" i="1"/>
  <c r="I565" i="1" s="1"/>
  <c r="K565" i="1" s="1"/>
  <c r="F577" i="1"/>
  <c r="I577" i="1" s="1"/>
  <c r="K577" i="1" s="1"/>
  <c r="F589" i="1"/>
  <c r="I589" i="1" s="1"/>
  <c r="F518" i="1"/>
  <c r="I518" i="1" s="1"/>
  <c r="K518" i="1" s="1"/>
  <c r="F530" i="1"/>
  <c r="I530" i="1" s="1"/>
  <c r="K530" i="1" s="1"/>
  <c r="F542" i="1"/>
  <c r="I542" i="1" s="1"/>
  <c r="K542" i="1" s="1"/>
  <c r="F554" i="1"/>
  <c r="I554" i="1" s="1"/>
  <c r="F566" i="1"/>
  <c r="F578" i="1"/>
  <c r="F590" i="1"/>
  <c r="F519" i="1"/>
  <c r="F531" i="1"/>
  <c r="F543" i="1"/>
  <c r="I543" i="1" s="1"/>
  <c r="K543" i="1" s="1"/>
  <c r="F555" i="1"/>
  <c r="I555" i="1" s="1"/>
  <c r="F567" i="1"/>
  <c r="I567" i="1" s="1"/>
  <c r="K567" i="1" s="1"/>
  <c r="F579" i="1"/>
  <c r="I579" i="1" s="1"/>
  <c r="K579" i="1" s="1"/>
  <c r="F591" i="1"/>
  <c r="F592" i="1"/>
  <c r="I592" i="1" s="1"/>
  <c r="K592" i="1" s="1"/>
  <c r="F509" i="1"/>
  <c r="F521" i="1"/>
  <c r="I521" i="1" s="1"/>
  <c r="F533" i="1"/>
  <c r="I533" i="1" s="1"/>
  <c r="F545" i="1"/>
  <c r="I545" i="1" s="1"/>
  <c r="K545" i="1" s="1"/>
  <c r="F557" i="1"/>
  <c r="F569" i="1"/>
  <c r="F581" i="1"/>
  <c r="F593" i="1"/>
  <c r="I593" i="1" s="1"/>
  <c r="K593" i="1" s="1"/>
  <c r="F510" i="1"/>
  <c r="F522" i="1"/>
  <c r="F534" i="1"/>
  <c r="I534" i="1" s="1"/>
  <c r="F546" i="1"/>
  <c r="I546" i="1" s="1"/>
  <c r="K546" i="1" s="1"/>
  <c r="F558" i="1"/>
  <c r="I558" i="1" s="1"/>
  <c r="K558" i="1" s="1"/>
  <c r="F570" i="1"/>
  <c r="I570" i="1" s="1"/>
  <c r="K570" i="1" s="1"/>
  <c r="F582" i="1"/>
  <c r="I582" i="1" s="1"/>
  <c r="K582" i="1" s="1"/>
  <c r="F594" i="1"/>
  <c r="F511" i="1"/>
  <c r="I511" i="1" s="1"/>
  <c r="F523" i="1"/>
  <c r="I523" i="1" s="1"/>
  <c r="F535" i="1"/>
  <c r="I535" i="1" s="1"/>
  <c r="F547" i="1"/>
  <c r="F559" i="1"/>
  <c r="I559" i="1" s="1"/>
  <c r="K559" i="1" s="1"/>
  <c r="F571" i="1"/>
  <c r="I571" i="1" s="1"/>
  <c r="K571" i="1" s="1"/>
  <c r="F583" i="1"/>
  <c r="I583" i="1" s="1"/>
  <c r="K583" i="1" s="1"/>
  <c r="F595" i="1"/>
  <c r="I595" i="1" s="1"/>
  <c r="K595" i="1" s="1"/>
  <c r="F512" i="1"/>
  <c r="I512" i="1" s="1"/>
  <c r="F524" i="1"/>
  <c r="I524" i="1" s="1"/>
  <c r="F536" i="1"/>
  <c r="I536" i="1" s="1"/>
  <c r="F548" i="1"/>
  <c r="I548" i="1" s="1"/>
  <c r="K548" i="1" s="1"/>
  <c r="F560" i="1"/>
  <c r="F572" i="1"/>
  <c r="F584" i="1"/>
  <c r="F596" i="1"/>
  <c r="I596" i="1" s="1"/>
  <c r="K596" i="1" s="1"/>
  <c r="F438" i="1"/>
  <c r="F440" i="1"/>
  <c r="F458" i="1"/>
  <c r="F436" i="1"/>
  <c r="F460" i="1"/>
  <c r="F462" i="1"/>
  <c r="F434" i="1"/>
  <c r="F378" i="1"/>
  <c r="F423" i="1"/>
  <c r="F344" i="1"/>
  <c r="I344" i="1" s="1"/>
  <c r="F341" i="1"/>
  <c r="I341" i="1" s="1"/>
  <c r="F338" i="1"/>
  <c r="I338" i="1" s="1"/>
  <c r="F368" i="1"/>
  <c r="I368" i="1" s="1"/>
  <c r="K368" i="1" s="1"/>
  <c r="F347" i="1"/>
  <c r="I347" i="1" s="1"/>
  <c r="K347" i="1" s="1"/>
  <c r="F349" i="1"/>
  <c r="I349" i="1" s="1"/>
  <c r="K349" i="1" s="1"/>
  <c r="F366" i="1"/>
  <c r="I366" i="1" s="1"/>
  <c r="K366" i="1" s="1"/>
  <c r="F483" i="1"/>
  <c r="F5" i="1"/>
  <c r="I5" i="1" s="1"/>
  <c r="I629" i="1"/>
  <c r="P629" i="1" s="1"/>
  <c r="F367" i="1"/>
  <c r="F484" i="1"/>
  <c r="I484" i="1" s="1"/>
  <c r="F639" i="1"/>
  <c r="F360" i="1"/>
  <c r="I360" i="1" s="1"/>
  <c r="K360" i="1" s="1"/>
  <c r="F471" i="1"/>
  <c r="F646" i="1"/>
  <c r="F359" i="1"/>
  <c r="I359" i="1" s="1"/>
  <c r="K359" i="1" s="1"/>
  <c r="F499" i="1"/>
  <c r="I620" i="1"/>
  <c r="F636" i="1"/>
  <c r="F645" i="1"/>
  <c r="F356" i="1"/>
  <c r="I356" i="1" s="1"/>
  <c r="K356" i="1" s="1"/>
  <c r="F498" i="1"/>
  <c r="I498" i="1" s="1"/>
  <c r="P498" i="1" s="1"/>
  <c r="Q498" i="1" s="1"/>
  <c r="L498" i="1" s="1"/>
  <c r="F637" i="1"/>
  <c r="F644" i="1"/>
  <c r="F361" i="1"/>
  <c r="F472" i="1"/>
  <c r="F355" i="1"/>
  <c r="I355" i="1" s="1"/>
  <c r="K355" i="1" s="1"/>
  <c r="F497" i="1"/>
  <c r="I497" i="1" s="1"/>
  <c r="P497" i="1" s="1"/>
  <c r="Q497" i="1" s="1"/>
  <c r="L497" i="1" s="1"/>
  <c r="F649" i="1"/>
  <c r="F354" i="1"/>
  <c r="F599" i="1"/>
  <c r="I599" i="1" s="1"/>
  <c r="F652" i="1"/>
  <c r="I652" i="1" s="1"/>
  <c r="F374" i="1"/>
  <c r="I374" i="1" s="1"/>
  <c r="F348" i="1"/>
  <c r="F598" i="1"/>
  <c r="I598" i="1" s="1"/>
  <c r="F651" i="1"/>
  <c r="I651" i="1" s="1"/>
  <c r="F373" i="1"/>
  <c r="I373" i="1" s="1"/>
  <c r="F426" i="1"/>
  <c r="F642" i="1"/>
  <c r="F372" i="1"/>
  <c r="I372" i="1" s="1"/>
  <c r="F449" i="1"/>
  <c r="I449" i="1" s="1"/>
  <c r="K449" i="1" s="1"/>
  <c r="F641" i="1"/>
  <c r="F369" i="1"/>
  <c r="F433" i="1"/>
  <c r="I433" i="1" s="1"/>
  <c r="K433" i="1" s="1"/>
  <c r="F400" i="1"/>
  <c r="F448" i="1"/>
  <c r="I448" i="1" s="1"/>
  <c r="K448" i="1" s="1"/>
  <c r="F375" i="1"/>
  <c r="I375" i="1" s="1"/>
  <c r="F362" i="1"/>
  <c r="I362" i="1" s="1"/>
  <c r="K362" i="1" s="1"/>
  <c r="F350" i="1"/>
  <c r="F414" i="1"/>
  <c r="I414" i="1" s="1"/>
  <c r="K414" i="1" s="1"/>
  <c r="F402" i="1"/>
  <c r="F390" i="1"/>
  <c r="I390" i="1" s="1"/>
  <c r="F450" i="1"/>
  <c r="F435" i="1"/>
  <c r="I435" i="1" s="1"/>
  <c r="K435" i="1" s="1"/>
  <c r="F485" i="1"/>
  <c r="F473" i="1"/>
  <c r="F500" i="1"/>
  <c r="I500" i="1" s="1"/>
  <c r="F413" i="1"/>
  <c r="F377" i="1"/>
  <c r="F463" i="1"/>
  <c r="I463" i="1" s="1"/>
  <c r="F371" i="1"/>
  <c r="I371" i="1" s="1"/>
  <c r="F358" i="1"/>
  <c r="I358" i="1" s="1"/>
  <c r="K358" i="1" s="1"/>
  <c r="F422" i="1"/>
  <c r="F410" i="1"/>
  <c r="I410" i="1" s="1"/>
  <c r="K410" i="1" s="1"/>
  <c r="F398" i="1"/>
  <c r="I398" i="1" s="1"/>
  <c r="K398" i="1" s="1"/>
  <c r="L398" i="1" s="1"/>
  <c r="F386" i="1"/>
  <c r="I386" i="1" s="1"/>
  <c r="K386" i="1" s="1"/>
  <c r="L386" i="1" s="1"/>
  <c r="F459" i="1"/>
  <c r="I459" i="1" s="1"/>
  <c r="K459" i="1" s="1"/>
  <c r="F446" i="1"/>
  <c r="F430" i="1"/>
  <c r="F481" i="1"/>
  <c r="F469" i="1"/>
  <c r="F496" i="1"/>
  <c r="I496" i="1" s="1"/>
  <c r="P496" i="1" s="1"/>
  <c r="Q496" i="1" s="1"/>
  <c r="L496" i="1" s="1"/>
  <c r="F401" i="1"/>
  <c r="F389" i="1"/>
  <c r="I389" i="1" s="1"/>
  <c r="F412" i="1"/>
  <c r="F388" i="1"/>
  <c r="F432" i="1"/>
  <c r="I432" i="1" s="1"/>
  <c r="K432" i="1" s="1"/>
  <c r="F424" i="1"/>
  <c r="F411" i="1"/>
  <c r="F399" i="1"/>
  <c r="I399" i="1" s="1"/>
  <c r="K399" i="1" s="1"/>
  <c r="L399" i="1" s="1"/>
  <c r="F387" i="1"/>
  <c r="I387" i="1" s="1"/>
  <c r="K387" i="1" s="1"/>
  <c r="L387" i="1" s="1"/>
  <c r="F461" i="1"/>
  <c r="I461" i="1" s="1"/>
  <c r="K461" i="1" s="1"/>
  <c r="F447" i="1"/>
  <c r="I447" i="1" s="1"/>
  <c r="K447" i="1" s="1"/>
  <c r="F431" i="1"/>
  <c r="I431" i="1" s="1"/>
  <c r="K431" i="1" s="1"/>
  <c r="F482" i="1"/>
  <c r="F470" i="1"/>
  <c r="F370" i="1"/>
  <c r="I370" i="1" s="1"/>
  <c r="F357" i="1"/>
  <c r="F421" i="1"/>
  <c r="F409" i="1"/>
  <c r="I409" i="1" s="1"/>
  <c r="K409" i="1" s="1"/>
  <c r="F397" i="1"/>
  <c r="F385" i="1"/>
  <c r="I385" i="1" s="1"/>
  <c r="K385" i="1" s="1"/>
  <c r="L385" i="1" s="1"/>
  <c r="F457" i="1"/>
  <c r="I457" i="1" s="1"/>
  <c r="K457" i="1" s="1"/>
  <c r="F445" i="1"/>
  <c r="I445" i="1" s="1"/>
  <c r="K445" i="1" s="1"/>
  <c r="F429" i="1"/>
  <c r="I429" i="1" s="1"/>
  <c r="K429" i="1" s="1"/>
  <c r="F480" i="1"/>
  <c r="F468" i="1"/>
  <c r="F495" i="1"/>
  <c r="F605" i="1"/>
  <c r="I605" i="1" s="1"/>
  <c r="K605" i="1" s="1"/>
  <c r="F420" i="1"/>
  <c r="F408" i="1"/>
  <c r="F396" i="1"/>
  <c r="I396" i="1" s="1"/>
  <c r="K396" i="1" s="1"/>
  <c r="L396" i="1" s="1"/>
  <c r="F384" i="1"/>
  <c r="I384" i="1" s="1"/>
  <c r="K384" i="1" s="1"/>
  <c r="L384" i="1" s="1"/>
  <c r="F456" i="1"/>
  <c r="I456" i="1" s="1"/>
  <c r="K456" i="1" s="1"/>
  <c r="F444" i="1"/>
  <c r="I444" i="1" s="1"/>
  <c r="K444" i="1" s="1"/>
  <c r="F428" i="1"/>
  <c r="I428" i="1" s="1"/>
  <c r="K428" i="1" s="1"/>
  <c r="F479" i="1"/>
  <c r="F467" i="1"/>
  <c r="F494" i="1"/>
  <c r="I494" i="1" s="1"/>
  <c r="P494" i="1" s="1"/>
  <c r="Q494" i="1" s="1"/>
  <c r="L494" i="1" s="1"/>
  <c r="F419" i="1"/>
  <c r="F407" i="1"/>
  <c r="I407" i="1" s="1"/>
  <c r="K407" i="1" s="1"/>
  <c r="F395" i="1"/>
  <c r="I395" i="1" s="1"/>
  <c r="K395" i="1" s="1"/>
  <c r="L395" i="1" s="1"/>
  <c r="F383" i="1"/>
  <c r="F455" i="1"/>
  <c r="I455" i="1" s="1"/>
  <c r="K455" i="1" s="1"/>
  <c r="F443" i="1"/>
  <c r="I443" i="1" s="1"/>
  <c r="K443" i="1" s="1"/>
  <c r="F427" i="1"/>
  <c r="I427" i="1" s="1"/>
  <c r="K427" i="1" s="1"/>
  <c r="F478" i="1"/>
  <c r="F466" i="1"/>
  <c r="F493" i="1"/>
  <c r="I493" i="1" s="1"/>
  <c r="P493" i="1" s="1"/>
  <c r="Q493" i="1" s="1"/>
  <c r="L493" i="1" s="1"/>
  <c r="F604" i="1"/>
  <c r="I604" i="1" s="1"/>
  <c r="K604" i="1" s="1"/>
  <c r="F418" i="1"/>
  <c r="F406" i="1"/>
  <c r="I406" i="1" s="1"/>
  <c r="K406" i="1" s="1"/>
  <c r="F394" i="1"/>
  <c r="I394" i="1" s="1"/>
  <c r="K394" i="1" s="1"/>
  <c r="L394" i="1" s="1"/>
  <c r="F382" i="1"/>
  <c r="I382" i="1" s="1"/>
  <c r="K382" i="1" s="1"/>
  <c r="L382" i="1" s="1"/>
  <c r="F454" i="1"/>
  <c r="F442" i="1"/>
  <c r="F465" i="1"/>
  <c r="F477" i="1"/>
  <c r="F490" i="1"/>
  <c r="F492" i="1"/>
  <c r="I492" i="1" s="1"/>
  <c r="P492" i="1" s="1"/>
  <c r="Q492" i="1" s="1"/>
  <c r="L492" i="1" s="1"/>
  <c r="F603" i="1"/>
  <c r="I603" i="1" s="1"/>
  <c r="K603" i="1" s="1"/>
  <c r="F365" i="1"/>
  <c r="F353" i="1"/>
  <c r="I353" i="1" s="1"/>
  <c r="K353" i="1" s="1"/>
  <c r="F417" i="1"/>
  <c r="F405" i="1"/>
  <c r="I405" i="1" s="1"/>
  <c r="K405" i="1" s="1"/>
  <c r="F393" i="1"/>
  <c r="I393" i="1" s="1"/>
  <c r="K393" i="1" s="1"/>
  <c r="L393" i="1" s="1"/>
  <c r="F381" i="1"/>
  <c r="I381" i="1" s="1"/>
  <c r="K381" i="1" s="1"/>
  <c r="L381" i="1" s="1"/>
  <c r="F453" i="1"/>
  <c r="I453" i="1" s="1"/>
  <c r="K453" i="1" s="1"/>
  <c r="F441" i="1"/>
  <c r="I441" i="1" s="1"/>
  <c r="K441" i="1" s="1"/>
  <c r="F488" i="1"/>
  <c r="F476" i="1"/>
  <c r="F503" i="1"/>
  <c r="I503" i="1" s="1"/>
  <c r="F491" i="1"/>
  <c r="I491" i="1" s="1"/>
  <c r="P491" i="1" s="1"/>
  <c r="Q491" i="1" s="1"/>
  <c r="L491" i="1" s="1"/>
  <c r="F602" i="1"/>
  <c r="I602" i="1" s="1"/>
  <c r="K602" i="1" s="1"/>
  <c r="F364" i="1"/>
  <c r="I364" i="1" s="1"/>
  <c r="K364" i="1" s="1"/>
  <c r="F352" i="1"/>
  <c r="I352" i="1" s="1"/>
  <c r="K352" i="1" s="1"/>
  <c r="F416" i="1"/>
  <c r="F404" i="1"/>
  <c r="F392" i="1"/>
  <c r="F380" i="1"/>
  <c r="I380" i="1" s="1"/>
  <c r="K380" i="1" s="1"/>
  <c r="L380" i="1" s="1"/>
  <c r="F452" i="1"/>
  <c r="I452" i="1" s="1"/>
  <c r="K452" i="1" s="1"/>
  <c r="F439" i="1"/>
  <c r="I439" i="1" s="1"/>
  <c r="K439" i="1" s="1"/>
  <c r="F487" i="1"/>
  <c r="I487" i="1" s="1"/>
  <c r="F475" i="1"/>
  <c r="F502" i="1"/>
  <c r="I502" i="1" s="1"/>
  <c r="I586" i="1"/>
  <c r="K586" i="1" s="1"/>
  <c r="F8" i="1"/>
  <c r="I8" i="1" s="1"/>
  <c r="K8" i="1" s="1"/>
  <c r="F346" i="1"/>
  <c r="F363" i="1"/>
  <c r="I363" i="1" s="1"/>
  <c r="K363" i="1" s="1"/>
  <c r="F415" i="1"/>
  <c r="I415" i="1" s="1"/>
  <c r="K415" i="1" s="1"/>
  <c r="F403" i="1"/>
  <c r="F391" i="1"/>
  <c r="F451" i="1"/>
  <c r="I451" i="1" s="1"/>
  <c r="K451" i="1" s="1"/>
  <c r="F486" i="1"/>
  <c r="I486" i="1" s="1"/>
  <c r="F153" i="1"/>
  <c r="I153" i="1" s="1"/>
  <c r="K153" i="1" s="1"/>
  <c r="F247" i="1"/>
  <c r="I247" i="1" s="1"/>
  <c r="K247" i="1" s="1"/>
  <c r="F340" i="1"/>
  <c r="F343" i="1"/>
  <c r="F129" i="1"/>
  <c r="I129" i="1" s="1"/>
  <c r="K129" i="1" s="1"/>
  <c r="F182" i="1"/>
  <c r="I182" i="1" s="1"/>
  <c r="K182" i="1" s="1"/>
  <c r="F301" i="1"/>
  <c r="I301" i="1" s="1"/>
  <c r="K301" i="1" s="1"/>
  <c r="F110" i="1"/>
  <c r="I110" i="1" s="1"/>
  <c r="K110" i="1" s="1"/>
  <c r="F178" i="1"/>
  <c r="I178" i="1" s="1"/>
  <c r="K178" i="1" s="1"/>
  <c r="F230" i="1"/>
  <c r="F295" i="1"/>
  <c r="I295" i="1" s="1"/>
  <c r="K295" i="1" s="1"/>
  <c r="F126" i="1"/>
  <c r="I126" i="1" s="1"/>
  <c r="K126" i="1" s="1"/>
  <c r="F181" i="1"/>
  <c r="I181" i="1" s="1"/>
  <c r="K181" i="1" s="1"/>
  <c r="F231" i="1"/>
  <c r="I231" i="1" s="1"/>
  <c r="F298" i="1"/>
  <c r="I298" i="1" s="1"/>
  <c r="K298" i="1" s="1"/>
  <c r="F133" i="1"/>
  <c r="I133" i="1" s="1"/>
  <c r="K133" i="1" s="1"/>
  <c r="F199" i="1"/>
  <c r="F253" i="1"/>
  <c r="F319" i="1"/>
  <c r="F322" i="1"/>
  <c r="I322" i="1" s="1"/>
  <c r="F132" i="1"/>
  <c r="I132" i="1" s="1"/>
  <c r="K132" i="1" s="1"/>
  <c r="F183" i="1"/>
  <c r="I183" i="1" s="1"/>
  <c r="K183" i="1" s="1"/>
  <c r="F250" i="1"/>
  <c r="I250" i="1" s="1"/>
  <c r="K250" i="1" s="1"/>
  <c r="F302" i="1"/>
  <c r="I302" i="1" s="1"/>
  <c r="K302" i="1" s="1"/>
  <c r="F134" i="1"/>
  <c r="I134" i="1" s="1"/>
  <c r="K134" i="1" s="1"/>
  <c r="F202" i="1"/>
  <c r="I202" i="1" s="1"/>
  <c r="K202" i="1" s="1"/>
  <c r="F150" i="1"/>
  <c r="I150" i="1" s="1"/>
  <c r="K150" i="1" s="1"/>
  <c r="F205" i="1"/>
  <c r="I205" i="1" s="1"/>
  <c r="K205" i="1" s="1"/>
  <c r="F255" i="1"/>
  <c r="I255" i="1" s="1"/>
  <c r="K255" i="1" s="1"/>
  <c r="F325" i="1"/>
  <c r="I325" i="1" s="1"/>
  <c r="F254" i="1"/>
  <c r="I254" i="1" s="1"/>
  <c r="K254" i="1" s="1"/>
  <c r="F154" i="1"/>
  <c r="F206" i="1"/>
  <c r="F271" i="1"/>
  <c r="I271" i="1" s="1"/>
  <c r="K271" i="1" s="1"/>
  <c r="F326" i="1"/>
  <c r="F157" i="1"/>
  <c r="I157" i="1" s="1"/>
  <c r="F207" i="1"/>
  <c r="I207" i="1" s="1"/>
  <c r="K207" i="1" s="1"/>
  <c r="F274" i="1"/>
  <c r="I274" i="1" s="1"/>
  <c r="K274" i="1" s="1"/>
  <c r="F158" i="1"/>
  <c r="I158" i="1" s="1"/>
  <c r="F223" i="1"/>
  <c r="I223" i="1" s="1"/>
  <c r="K223" i="1" s="1"/>
  <c r="F277" i="1"/>
  <c r="I277" i="1" s="1"/>
  <c r="K277" i="1" s="1"/>
  <c r="F108" i="1"/>
  <c r="F159" i="1"/>
  <c r="I159" i="1" s="1"/>
  <c r="F226" i="1"/>
  <c r="I226" i="1" s="1"/>
  <c r="K226" i="1" s="1"/>
  <c r="F278" i="1"/>
  <c r="I278" i="1" s="1"/>
  <c r="K278" i="1" s="1"/>
  <c r="F109" i="1"/>
  <c r="F175" i="1"/>
  <c r="I175" i="1" s="1"/>
  <c r="K175" i="1" s="1"/>
  <c r="F229" i="1"/>
  <c r="I229" i="1" s="1"/>
  <c r="K229" i="1" s="1"/>
  <c r="F279" i="1"/>
  <c r="I279" i="1" s="1"/>
  <c r="K279" i="1" s="1"/>
  <c r="F128" i="1"/>
  <c r="I128" i="1" s="1"/>
  <c r="K128" i="1" s="1"/>
  <c r="F152" i="1"/>
  <c r="F177" i="1"/>
  <c r="I177" i="1" s="1"/>
  <c r="K177" i="1" s="1"/>
  <c r="F201" i="1"/>
  <c r="I201" i="1" s="1"/>
  <c r="K201" i="1" s="1"/>
  <c r="F225" i="1"/>
  <c r="I225" i="1" s="1"/>
  <c r="K225" i="1" s="1"/>
  <c r="F249" i="1"/>
  <c r="I249" i="1" s="1"/>
  <c r="K249" i="1" s="1"/>
  <c r="F273" i="1"/>
  <c r="I273" i="1" s="1"/>
  <c r="K273" i="1" s="1"/>
  <c r="F297" i="1"/>
  <c r="F321" i="1"/>
  <c r="I321" i="1" s="1"/>
  <c r="F303" i="1"/>
  <c r="F114" i="1"/>
  <c r="I114" i="1" s="1"/>
  <c r="K114" i="1" s="1"/>
  <c r="F138" i="1"/>
  <c r="I138" i="1" s="1"/>
  <c r="K138" i="1" s="1"/>
  <c r="F163" i="1"/>
  <c r="I163" i="1" s="1"/>
  <c r="K163" i="1" s="1"/>
  <c r="F187" i="1"/>
  <c r="I187" i="1" s="1"/>
  <c r="K187" i="1" s="1"/>
  <c r="F211" i="1"/>
  <c r="I211" i="1" s="1"/>
  <c r="K211" i="1" s="1"/>
  <c r="F235" i="1"/>
  <c r="F259" i="1"/>
  <c r="I259" i="1" s="1"/>
  <c r="K259" i="1" s="1"/>
  <c r="F283" i="1"/>
  <c r="I283" i="1" s="1"/>
  <c r="K283" i="1" s="1"/>
  <c r="F307" i="1"/>
  <c r="I307" i="1" s="1"/>
  <c r="K307" i="1" s="1"/>
  <c r="F331" i="1"/>
  <c r="I331" i="1" s="1"/>
  <c r="F327" i="1"/>
  <c r="I327" i="1" s="1"/>
  <c r="F116" i="1"/>
  <c r="I116" i="1" s="1"/>
  <c r="K116" i="1" s="1"/>
  <c r="F140" i="1"/>
  <c r="F165" i="1"/>
  <c r="I165" i="1" s="1"/>
  <c r="K165" i="1" s="1"/>
  <c r="F189" i="1"/>
  <c r="I189" i="1" s="1"/>
  <c r="K189" i="1" s="1"/>
  <c r="F213" i="1"/>
  <c r="I213" i="1" s="1"/>
  <c r="K213" i="1" s="1"/>
  <c r="F237" i="1"/>
  <c r="F261" i="1"/>
  <c r="I261" i="1" s="1"/>
  <c r="K261" i="1" s="1"/>
  <c r="F285" i="1"/>
  <c r="I285" i="1" s="1"/>
  <c r="K285" i="1" s="1"/>
  <c r="F309" i="1"/>
  <c r="F333" i="1"/>
  <c r="F117" i="1"/>
  <c r="I117" i="1" s="1"/>
  <c r="K117" i="1" s="1"/>
  <c r="F141" i="1"/>
  <c r="I141" i="1" s="1"/>
  <c r="K141" i="1" s="1"/>
  <c r="F166" i="1"/>
  <c r="I166" i="1" s="1"/>
  <c r="K166" i="1" s="1"/>
  <c r="F190" i="1"/>
  <c r="I190" i="1" s="1"/>
  <c r="K190" i="1" s="1"/>
  <c r="F214" i="1"/>
  <c r="I214" i="1" s="1"/>
  <c r="K214" i="1" s="1"/>
  <c r="F238" i="1"/>
  <c r="I238" i="1" s="1"/>
  <c r="K238" i="1" s="1"/>
  <c r="F262" i="1"/>
  <c r="I262" i="1" s="1"/>
  <c r="K262" i="1" s="1"/>
  <c r="F286" i="1"/>
  <c r="F310" i="1"/>
  <c r="I310" i="1" s="1"/>
  <c r="F334" i="1"/>
  <c r="I334" i="1" s="1"/>
  <c r="F120" i="1"/>
  <c r="I120" i="1" s="1"/>
  <c r="K120" i="1" s="1"/>
  <c r="F144" i="1"/>
  <c r="I144" i="1" s="1"/>
  <c r="K144" i="1" s="1"/>
  <c r="F169" i="1"/>
  <c r="I169" i="1" s="1"/>
  <c r="K169" i="1" s="1"/>
  <c r="F193" i="1"/>
  <c r="I193" i="1" s="1"/>
  <c r="K193" i="1" s="1"/>
  <c r="F217" i="1"/>
  <c r="I217" i="1" s="1"/>
  <c r="K217" i="1" s="1"/>
  <c r="F241" i="1"/>
  <c r="I241" i="1" s="1"/>
  <c r="K241" i="1" s="1"/>
  <c r="F265" i="1"/>
  <c r="I265" i="1" s="1"/>
  <c r="K265" i="1" s="1"/>
  <c r="F289" i="1"/>
  <c r="I289" i="1" s="1"/>
  <c r="K289" i="1" s="1"/>
  <c r="F313" i="1"/>
  <c r="I313" i="1" s="1"/>
  <c r="F339" i="1"/>
  <c r="F121" i="1"/>
  <c r="I121" i="1" s="1"/>
  <c r="K121" i="1" s="1"/>
  <c r="F145" i="1"/>
  <c r="F170" i="1"/>
  <c r="I170" i="1" s="1"/>
  <c r="K170" i="1" s="1"/>
  <c r="F194" i="1"/>
  <c r="I194" i="1" s="1"/>
  <c r="K194" i="1" s="1"/>
  <c r="F218" i="1"/>
  <c r="F242" i="1"/>
  <c r="I242" i="1" s="1"/>
  <c r="K242" i="1" s="1"/>
  <c r="F266" i="1"/>
  <c r="I266" i="1" s="1"/>
  <c r="K266" i="1" s="1"/>
  <c r="F290" i="1"/>
  <c r="F314" i="1"/>
  <c r="I314" i="1" s="1"/>
  <c r="F342" i="1"/>
  <c r="F122" i="1"/>
  <c r="I122" i="1" s="1"/>
  <c r="K122" i="1" s="1"/>
  <c r="F146" i="1"/>
  <c r="I146" i="1" s="1"/>
  <c r="K146" i="1" s="1"/>
  <c r="F171" i="1"/>
  <c r="I171" i="1" s="1"/>
  <c r="K171" i="1" s="1"/>
  <c r="F195" i="1"/>
  <c r="I195" i="1" s="1"/>
  <c r="K195" i="1" s="1"/>
  <c r="F219" i="1"/>
  <c r="I219" i="1" s="1"/>
  <c r="K219" i="1" s="1"/>
  <c r="F243" i="1"/>
  <c r="I243" i="1" s="1"/>
  <c r="K243" i="1" s="1"/>
  <c r="F267" i="1"/>
  <c r="I267" i="1" s="1"/>
  <c r="K267" i="1" s="1"/>
  <c r="F291" i="1"/>
  <c r="I291" i="1" s="1"/>
  <c r="K291" i="1" s="1"/>
  <c r="F315" i="1"/>
  <c r="F337" i="1"/>
  <c r="F115" i="1"/>
  <c r="I115" i="1" s="1"/>
  <c r="K115" i="1" s="1"/>
  <c r="F127" i="1"/>
  <c r="I127" i="1" s="1"/>
  <c r="K127" i="1" s="1"/>
  <c r="F139" i="1"/>
  <c r="I139" i="1" s="1"/>
  <c r="K139" i="1" s="1"/>
  <c r="F151" i="1"/>
  <c r="I151" i="1" s="1"/>
  <c r="K151" i="1" s="1"/>
  <c r="F164" i="1"/>
  <c r="I164" i="1" s="1"/>
  <c r="K164" i="1" s="1"/>
  <c r="F176" i="1"/>
  <c r="I176" i="1" s="1"/>
  <c r="K176" i="1" s="1"/>
  <c r="F188" i="1"/>
  <c r="I188" i="1" s="1"/>
  <c r="K188" i="1" s="1"/>
  <c r="F200" i="1"/>
  <c r="I200" i="1" s="1"/>
  <c r="K200" i="1" s="1"/>
  <c r="F212" i="1"/>
  <c r="F224" i="1"/>
  <c r="F236" i="1"/>
  <c r="I236" i="1" s="1"/>
  <c r="K236" i="1" s="1"/>
  <c r="F248" i="1"/>
  <c r="I248" i="1" s="1"/>
  <c r="K248" i="1" s="1"/>
  <c r="F260" i="1"/>
  <c r="I260" i="1" s="1"/>
  <c r="K260" i="1" s="1"/>
  <c r="F272" i="1"/>
  <c r="I272" i="1" s="1"/>
  <c r="K272" i="1" s="1"/>
  <c r="F284" i="1"/>
  <c r="I284" i="1" s="1"/>
  <c r="K284" i="1" s="1"/>
  <c r="F296" i="1"/>
  <c r="I296" i="1" s="1"/>
  <c r="K296" i="1" s="1"/>
  <c r="F308" i="1"/>
  <c r="I308" i="1" s="1"/>
  <c r="K308" i="1" s="1"/>
  <c r="F320" i="1"/>
  <c r="I320" i="1" s="1"/>
  <c r="F332" i="1"/>
  <c r="I332" i="1" s="1"/>
  <c r="F118" i="1"/>
  <c r="F130" i="1"/>
  <c r="I130" i="1" s="1"/>
  <c r="K130" i="1" s="1"/>
  <c r="F142" i="1"/>
  <c r="I142" i="1" s="1"/>
  <c r="K142" i="1" s="1"/>
  <c r="F155" i="1"/>
  <c r="I155" i="1" s="1"/>
  <c r="F167" i="1"/>
  <c r="I167" i="1" s="1"/>
  <c r="K167" i="1" s="1"/>
  <c r="F179" i="1"/>
  <c r="I179" i="1" s="1"/>
  <c r="K179" i="1" s="1"/>
  <c r="F191" i="1"/>
  <c r="I191" i="1" s="1"/>
  <c r="K191" i="1" s="1"/>
  <c r="F203" i="1"/>
  <c r="I203" i="1" s="1"/>
  <c r="K203" i="1" s="1"/>
  <c r="F215" i="1"/>
  <c r="I215" i="1" s="1"/>
  <c r="K215" i="1" s="1"/>
  <c r="F227" i="1"/>
  <c r="I227" i="1" s="1"/>
  <c r="K227" i="1" s="1"/>
  <c r="F239" i="1"/>
  <c r="I239" i="1" s="1"/>
  <c r="K239" i="1" s="1"/>
  <c r="F251" i="1"/>
  <c r="I251" i="1" s="1"/>
  <c r="K251" i="1" s="1"/>
  <c r="F263" i="1"/>
  <c r="I263" i="1" s="1"/>
  <c r="K263" i="1" s="1"/>
  <c r="F275" i="1"/>
  <c r="F287" i="1"/>
  <c r="I287" i="1" s="1"/>
  <c r="K287" i="1" s="1"/>
  <c r="F299" i="1"/>
  <c r="I299" i="1" s="1"/>
  <c r="K299" i="1" s="1"/>
  <c r="F311" i="1"/>
  <c r="I311" i="1" s="1"/>
  <c r="F323" i="1"/>
  <c r="I323" i="1" s="1"/>
  <c r="F335" i="1"/>
  <c r="I335" i="1" s="1"/>
  <c r="F119" i="1"/>
  <c r="I119" i="1" s="1"/>
  <c r="K119" i="1" s="1"/>
  <c r="F131" i="1"/>
  <c r="F143" i="1"/>
  <c r="F156" i="1"/>
  <c r="I156" i="1" s="1"/>
  <c r="F168" i="1"/>
  <c r="F180" i="1"/>
  <c r="F192" i="1"/>
  <c r="F204" i="1"/>
  <c r="I204" i="1" s="1"/>
  <c r="K204" i="1" s="1"/>
  <c r="F216" i="1"/>
  <c r="I216" i="1" s="1"/>
  <c r="K216" i="1" s="1"/>
  <c r="F228" i="1"/>
  <c r="I228" i="1" s="1"/>
  <c r="K228" i="1" s="1"/>
  <c r="F240" i="1"/>
  <c r="F252" i="1"/>
  <c r="I252" i="1" s="1"/>
  <c r="K252" i="1" s="1"/>
  <c r="F264" i="1"/>
  <c r="F276" i="1"/>
  <c r="I276" i="1" s="1"/>
  <c r="K276" i="1" s="1"/>
  <c r="F288" i="1"/>
  <c r="I288" i="1" s="1"/>
  <c r="K288" i="1" s="1"/>
  <c r="F300" i="1"/>
  <c r="F312" i="1"/>
  <c r="I312" i="1" s="1"/>
  <c r="F324" i="1"/>
  <c r="I324" i="1" s="1"/>
  <c r="F336" i="1"/>
  <c r="F111" i="1"/>
  <c r="F123" i="1"/>
  <c r="I123" i="1" s="1"/>
  <c r="K123" i="1" s="1"/>
  <c r="F135" i="1"/>
  <c r="I135" i="1" s="1"/>
  <c r="K135" i="1" s="1"/>
  <c r="F147" i="1"/>
  <c r="I147" i="1" s="1"/>
  <c r="K147" i="1" s="1"/>
  <c r="F160" i="1"/>
  <c r="I160" i="1" s="1"/>
  <c r="F172" i="1"/>
  <c r="I172" i="1" s="1"/>
  <c r="K172" i="1" s="1"/>
  <c r="F184" i="1"/>
  <c r="I184" i="1" s="1"/>
  <c r="K184" i="1" s="1"/>
  <c r="F196" i="1"/>
  <c r="I196" i="1" s="1"/>
  <c r="K196" i="1" s="1"/>
  <c r="F208" i="1"/>
  <c r="I208" i="1" s="1"/>
  <c r="K208" i="1" s="1"/>
  <c r="F220" i="1"/>
  <c r="I220" i="1" s="1"/>
  <c r="K220" i="1" s="1"/>
  <c r="F232" i="1"/>
  <c r="I232" i="1" s="1"/>
  <c r="F244" i="1"/>
  <c r="F256" i="1"/>
  <c r="I256" i="1" s="1"/>
  <c r="K256" i="1" s="1"/>
  <c r="F268" i="1"/>
  <c r="I268" i="1" s="1"/>
  <c r="K268" i="1" s="1"/>
  <c r="F280" i="1"/>
  <c r="I280" i="1" s="1"/>
  <c r="K280" i="1" s="1"/>
  <c r="F292" i="1"/>
  <c r="I292" i="1" s="1"/>
  <c r="K292" i="1" s="1"/>
  <c r="F304" i="1"/>
  <c r="I304" i="1" s="1"/>
  <c r="K304" i="1" s="1"/>
  <c r="F316" i="1"/>
  <c r="F328" i="1"/>
  <c r="I328" i="1" s="1"/>
  <c r="F112" i="1"/>
  <c r="I112" i="1" s="1"/>
  <c r="K112" i="1" s="1"/>
  <c r="F124" i="1"/>
  <c r="I124" i="1" s="1"/>
  <c r="K124" i="1" s="1"/>
  <c r="F136" i="1"/>
  <c r="I136" i="1" s="1"/>
  <c r="K136" i="1" s="1"/>
  <c r="F148" i="1"/>
  <c r="I148" i="1" s="1"/>
  <c r="K148" i="1" s="1"/>
  <c r="F161" i="1"/>
  <c r="F173" i="1"/>
  <c r="I173" i="1" s="1"/>
  <c r="K173" i="1" s="1"/>
  <c r="F185" i="1"/>
  <c r="I185" i="1" s="1"/>
  <c r="K185" i="1" s="1"/>
  <c r="F197" i="1"/>
  <c r="I197" i="1" s="1"/>
  <c r="K197" i="1" s="1"/>
  <c r="F209" i="1"/>
  <c r="I209" i="1" s="1"/>
  <c r="K209" i="1" s="1"/>
  <c r="F221" i="1"/>
  <c r="I221" i="1" s="1"/>
  <c r="K221" i="1" s="1"/>
  <c r="F233" i="1"/>
  <c r="I233" i="1" s="1"/>
  <c r="F245" i="1"/>
  <c r="I245" i="1" s="1"/>
  <c r="K245" i="1" s="1"/>
  <c r="F257" i="1"/>
  <c r="I257" i="1" s="1"/>
  <c r="K257" i="1" s="1"/>
  <c r="F269" i="1"/>
  <c r="I269" i="1" s="1"/>
  <c r="K269" i="1" s="1"/>
  <c r="F281" i="1"/>
  <c r="I281" i="1" s="1"/>
  <c r="K281" i="1" s="1"/>
  <c r="F293" i="1"/>
  <c r="I293" i="1" s="1"/>
  <c r="K293" i="1" s="1"/>
  <c r="F305" i="1"/>
  <c r="I305" i="1" s="1"/>
  <c r="K305" i="1" s="1"/>
  <c r="F317" i="1"/>
  <c r="I317" i="1" s="1"/>
  <c r="F329" i="1"/>
  <c r="I329" i="1" s="1"/>
  <c r="F113" i="1"/>
  <c r="I113" i="1" s="1"/>
  <c r="K113" i="1" s="1"/>
  <c r="F125" i="1"/>
  <c r="F137" i="1"/>
  <c r="F149" i="1"/>
  <c r="I149" i="1" s="1"/>
  <c r="K149" i="1" s="1"/>
  <c r="F162" i="1"/>
  <c r="F174" i="1"/>
  <c r="F186" i="1"/>
  <c r="F198" i="1"/>
  <c r="I198" i="1" s="1"/>
  <c r="K198" i="1" s="1"/>
  <c r="F210" i="1"/>
  <c r="I210" i="1" s="1"/>
  <c r="K210" i="1" s="1"/>
  <c r="F222" i="1"/>
  <c r="I222" i="1" s="1"/>
  <c r="K222" i="1" s="1"/>
  <c r="F234" i="1"/>
  <c r="F246" i="1"/>
  <c r="I246" i="1" s="1"/>
  <c r="K246" i="1" s="1"/>
  <c r="F258" i="1"/>
  <c r="I258" i="1" s="1"/>
  <c r="K258" i="1" s="1"/>
  <c r="F270" i="1"/>
  <c r="I270" i="1" s="1"/>
  <c r="K270" i="1" s="1"/>
  <c r="F282" i="1"/>
  <c r="I282" i="1" s="1"/>
  <c r="K282" i="1" s="1"/>
  <c r="F294" i="1"/>
  <c r="F306" i="1"/>
  <c r="F318" i="1"/>
  <c r="I318" i="1" s="1"/>
  <c r="F101" i="1"/>
  <c r="F99" i="1"/>
  <c r="F104" i="1"/>
  <c r="F105" i="1"/>
  <c r="I105" i="1" s="1"/>
  <c r="Z105" i="1" s="1"/>
  <c r="AA105" i="1" s="1"/>
  <c r="V105" i="1" s="1"/>
  <c r="Q105" i="1" s="1"/>
  <c r="L105" i="1" s="1"/>
  <c r="F87" i="1"/>
  <c r="I87" i="1" s="1"/>
  <c r="F106" i="1"/>
  <c r="I106" i="1" s="1"/>
  <c r="Z106" i="1" s="1"/>
  <c r="AA106" i="1" s="1"/>
  <c r="V106" i="1" s="1"/>
  <c r="Q106" i="1" s="1"/>
  <c r="L106" i="1" s="1"/>
  <c r="F88" i="1"/>
  <c r="F100" i="1"/>
  <c r="I100" i="1" s="1"/>
  <c r="K100" i="1" s="1"/>
  <c r="F89" i="1"/>
  <c r="I89" i="1" s="1"/>
  <c r="F92" i="1"/>
  <c r="I92" i="1" s="1"/>
  <c r="F93" i="1"/>
  <c r="I93" i="1" s="1"/>
  <c r="F94" i="1"/>
  <c r="F98" i="1"/>
  <c r="I98" i="1" s="1"/>
  <c r="K98" i="1" s="1"/>
  <c r="F91" i="1"/>
  <c r="I91" i="1" s="1"/>
  <c r="F103" i="1"/>
  <c r="I103" i="1" s="1"/>
  <c r="K103" i="1" s="1"/>
  <c r="F95" i="1"/>
  <c r="I95" i="1" s="1"/>
  <c r="K95" i="1" s="1"/>
  <c r="F96" i="1"/>
  <c r="I96" i="1" s="1"/>
  <c r="K96" i="1" s="1"/>
  <c r="F86" i="1"/>
  <c r="F97" i="1"/>
  <c r="F90" i="1"/>
  <c r="F13" i="1"/>
  <c r="F7" i="1"/>
  <c r="F14" i="1"/>
  <c r="I14" i="1" s="1"/>
  <c r="K14" i="1" s="1"/>
  <c r="F38" i="1"/>
  <c r="I38" i="1" s="1"/>
  <c r="K38" i="1" s="1"/>
  <c r="F17" i="1"/>
  <c r="F77" i="1"/>
  <c r="F76" i="1"/>
  <c r="I76" i="1" s="1"/>
  <c r="K76" i="1" s="1"/>
  <c r="F74" i="1"/>
  <c r="I74" i="1" s="1"/>
  <c r="K74" i="1" s="1"/>
  <c r="F53" i="1"/>
  <c r="F50" i="1"/>
  <c r="I50" i="1" s="1"/>
  <c r="K50" i="1" s="1"/>
  <c r="F49" i="1"/>
  <c r="F41" i="1"/>
  <c r="F40" i="1"/>
  <c r="I40" i="1" s="1"/>
  <c r="K40" i="1" s="1"/>
  <c r="F73" i="1"/>
  <c r="I73" i="1" s="1"/>
  <c r="K73" i="1" s="1"/>
  <c r="F37" i="1"/>
  <c r="I37" i="1" s="1"/>
  <c r="K37" i="1" s="1"/>
  <c r="F65" i="1"/>
  <c r="F29" i="1"/>
  <c r="I29" i="1" s="1"/>
  <c r="K29" i="1" s="1"/>
  <c r="F64" i="1"/>
  <c r="I64" i="1" s="1"/>
  <c r="K64" i="1" s="1"/>
  <c r="F28" i="1"/>
  <c r="I28" i="1" s="1"/>
  <c r="K28" i="1" s="1"/>
  <c r="F62" i="1"/>
  <c r="I62" i="1" s="1"/>
  <c r="K62" i="1" s="1"/>
  <c r="F26" i="1"/>
  <c r="I26" i="1" s="1"/>
  <c r="K26" i="1" s="1"/>
  <c r="F61" i="1"/>
  <c r="F25" i="1"/>
  <c r="F52" i="1"/>
  <c r="I52" i="1" s="1"/>
  <c r="K52" i="1" s="1"/>
  <c r="F16" i="1"/>
  <c r="I16" i="1" s="1"/>
  <c r="K16" i="1" s="1"/>
  <c r="F75" i="1"/>
  <c r="I75" i="1" s="1"/>
  <c r="K75" i="1" s="1"/>
  <c r="F63" i="1"/>
  <c r="I63" i="1" s="1"/>
  <c r="K63" i="1" s="1"/>
  <c r="F51" i="1"/>
  <c r="I51" i="1" s="1"/>
  <c r="K51" i="1" s="1"/>
  <c r="F39" i="1"/>
  <c r="I39" i="1" s="1"/>
  <c r="K39" i="1" s="1"/>
  <c r="F27" i="1"/>
  <c r="I27" i="1" s="1"/>
  <c r="K27" i="1" s="1"/>
  <c r="F15" i="1"/>
  <c r="I15" i="1" s="1"/>
  <c r="K15" i="1" s="1"/>
  <c r="F84" i="1"/>
  <c r="I84" i="1" s="1"/>
  <c r="F72" i="1"/>
  <c r="I72" i="1" s="1"/>
  <c r="K72" i="1" s="1"/>
  <c r="F60" i="1"/>
  <c r="I60" i="1" s="1"/>
  <c r="K60" i="1" s="1"/>
  <c r="F48" i="1"/>
  <c r="I48" i="1" s="1"/>
  <c r="K48" i="1" s="1"/>
  <c r="F36" i="1"/>
  <c r="I36" i="1" s="1"/>
  <c r="K36" i="1" s="1"/>
  <c r="F24" i="1"/>
  <c r="I24" i="1" s="1"/>
  <c r="K24" i="1" s="1"/>
  <c r="F12" i="1"/>
  <c r="I12" i="1" s="1"/>
  <c r="K12" i="1" s="1"/>
  <c r="F83" i="1"/>
  <c r="I83" i="1" s="1"/>
  <c r="F71" i="1"/>
  <c r="I71" i="1" s="1"/>
  <c r="K71" i="1" s="1"/>
  <c r="F59" i="1"/>
  <c r="I59" i="1" s="1"/>
  <c r="K59" i="1" s="1"/>
  <c r="F47" i="1"/>
  <c r="I47" i="1" s="1"/>
  <c r="K47" i="1" s="1"/>
  <c r="F35" i="1"/>
  <c r="I35" i="1" s="1"/>
  <c r="K35" i="1" s="1"/>
  <c r="F23" i="1"/>
  <c r="I23" i="1" s="1"/>
  <c r="K23" i="1" s="1"/>
  <c r="F11" i="1"/>
  <c r="I11" i="1" s="1"/>
  <c r="K11" i="1" s="1"/>
  <c r="F82" i="1"/>
  <c r="I82" i="1" s="1"/>
  <c r="F70" i="1"/>
  <c r="I70" i="1" s="1"/>
  <c r="K70" i="1" s="1"/>
  <c r="F58" i="1"/>
  <c r="I58" i="1" s="1"/>
  <c r="K58" i="1" s="1"/>
  <c r="F46" i="1"/>
  <c r="I46" i="1" s="1"/>
  <c r="K46" i="1" s="1"/>
  <c r="F34" i="1"/>
  <c r="I34" i="1" s="1"/>
  <c r="K34" i="1" s="1"/>
  <c r="F22" i="1"/>
  <c r="I22" i="1" s="1"/>
  <c r="K22" i="1" s="1"/>
  <c r="F10" i="1"/>
  <c r="I10" i="1" s="1"/>
  <c r="K10" i="1" s="1"/>
  <c r="F81" i="1"/>
  <c r="F69" i="1"/>
  <c r="F57" i="1"/>
  <c r="I57" i="1" s="1"/>
  <c r="K57" i="1" s="1"/>
  <c r="F45" i="1"/>
  <c r="F33" i="1"/>
  <c r="F21" i="1"/>
  <c r="F9" i="1"/>
  <c r="F80" i="1"/>
  <c r="I80" i="1" s="1"/>
  <c r="K80" i="1" s="1"/>
  <c r="F68" i="1"/>
  <c r="I68" i="1" s="1"/>
  <c r="K68" i="1" s="1"/>
  <c r="F56" i="1"/>
  <c r="I56" i="1" s="1"/>
  <c r="K56" i="1" s="1"/>
  <c r="F44" i="1"/>
  <c r="I44" i="1" s="1"/>
  <c r="K44" i="1" s="1"/>
  <c r="F32" i="1"/>
  <c r="I32" i="1" s="1"/>
  <c r="K32" i="1" s="1"/>
  <c r="F20" i="1"/>
  <c r="I20" i="1" s="1"/>
  <c r="K20" i="1" s="1"/>
  <c r="F79" i="1"/>
  <c r="I79" i="1" s="1"/>
  <c r="K79" i="1" s="1"/>
  <c r="F67" i="1"/>
  <c r="I67" i="1" s="1"/>
  <c r="K67" i="1" s="1"/>
  <c r="F55" i="1"/>
  <c r="I55" i="1" s="1"/>
  <c r="K55" i="1" s="1"/>
  <c r="F43" i="1"/>
  <c r="I43" i="1" s="1"/>
  <c r="K43" i="1" s="1"/>
  <c r="F31" i="1"/>
  <c r="I31" i="1" s="1"/>
  <c r="K31" i="1" s="1"/>
  <c r="F19" i="1"/>
  <c r="I19" i="1" s="1"/>
  <c r="K19" i="1" s="1"/>
  <c r="F78" i="1"/>
  <c r="I78" i="1" s="1"/>
  <c r="K78" i="1" s="1"/>
  <c r="F66" i="1"/>
  <c r="I66" i="1" s="1"/>
  <c r="K66" i="1" s="1"/>
  <c r="F54" i="1"/>
  <c r="I54" i="1" s="1"/>
  <c r="K54" i="1" s="1"/>
  <c r="F42" i="1"/>
  <c r="I42" i="1" s="1"/>
  <c r="K42" i="1" s="1"/>
  <c r="F30" i="1"/>
  <c r="I30" i="1" s="1"/>
  <c r="K30" i="1" s="1"/>
  <c r="I4" i="1"/>
  <c r="K4" i="1" s="1"/>
  <c r="K3" i="1" s="1"/>
  <c r="E9" i="2" s="1"/>
  <c r="F3" i="1"/>
  <c r="D28" i="2"/>
  <c r="F28" i="2"/>
  <c r="F32" i="2"/>
  <c r="E32" i="2"/>
  <c r="D32" i="2"/>
  <c r="C32" i="2"/>
  <c r="G31" i="2"/>
  <c r="I31" i="2" s="1"/>
  <c r="H31" i="2"/>
  <c r="G30" i="2"/>
  <c r="I30" i="2" s="1"/>
  <c r="H30" i="2"/>
  <c r="H32" i="2"/>
  <c r="P647" i="1" l="1"/>
  <c r="K647" i="1"/>
  <c r="P640" i="1"/>
  <c r="K640" i="1"/>
  <c r="V437" i="1"/>
  <c r="Q437" i="1" s="1"/>
  <c r="L437" i="1" s="1"/>
  <c r="Z47" i="1"/>
  <c r="AA47" i="1" s="1"/>
  <c r="V47" i="1" s="1"/>
  <c r="P47" i="1"/>
  <c r="Z78" i="1"/>
  <c r="AA78" i="1" s="1"/>
  <c r="V78" i="1" s="1"/>
  <c r="P78" i="1"/>
  <c r="Z331" i="1"/>
  <c r="AA331" i="1" s="1"/>
  <c r="V331" i="1" s="1"/>
  <c r="Q331" i="1" s="1"/>
  <c r="K331" i="1"/>
  <c r="P331" i="1"/>
  <c r="Z19" i="1"/>
  <c r="AA19" i="1" s="1"/>
  <c r="V19" i="1" s="1"/>
  <c r="P19" i="1"/>
  <c r="Z328" i="1"/>
  <c r="AA328" i="1" s="1"/>
  <c r="V328" i="1" s="1"/>
  <c r="P328" i="1"/>
  <c r="K328" i="1"/>
  <c r="Z36" i="1"/>
  <c r="AA36" i="1" s="1"/>
  <c r="V36" i="1" s="1"/>
  <c r="P36" i="1"/>
  <c r="Z14" i="1"/>
  <c r="AA14" i="1" s="1"/>
  <c r="V14" i="1" s="1"/>
  <c r="P14" i="1"/>
  <c r="Z79" i="1"/>
  <c r="AA79" i="1" s="1"/>
  <c r="V79" i="1" s="1"/>
  <c r="P79" i="1"/>
  <c r="P511" i="1"/>
  <c r="K511" i="1"/>
  <c r="Z44" i="1"/>
  <c r="AA44" i="1" s="1"/>
  <c r="V44" i="1" s="1"/>
  <c r="P44" i="1"/>
  <c r="Z15" i="1"/>
  <c r="AA15" i="1" s="1"/>
  <c r="V15" i="1" s="1"/>
  <c r="P15" i="1"/>
  <c r="U654" i="1"/>
  <c r="U653" i="1" s="1"/>
  <c r="P654" i="1"/>
  <c r="P653" i="1" s="1"/>
  <c r="Z56" i="1"/>
  <c r="AA56" i="1" s="1"/>
  <c r="V56" i="1" s="1"/>
  <c r="P56" i="1"/>
  <c r="Z27" i="1"/>
  <c r="AA27" i="1" s="1"/>
  <c r="V27" i="1" s="1"/>
  <c r="P27" i="1"/>
  <c r="Z68" i="1"/>
  <c r="AA68" i="1" s="1"/>
  <c r="V68" i="1" s="1"/>
  <c r="Q68" i="1" s="1"/>
  <c r="L68" i="1" s="1"/>
  <c r="P68" i="1"/>
  <c r="Z39" i="1"/>
  <c r="AA39" i="1" s="1"/>
  <c r="V39" i="1" s="1"/>
  <c r="P39" i="1"/>
  <c r="Z321" i="1"/>
  <c r="AA321" i="1" s="1"/>
  <c r="V321" i="1" s="1"/>
  <c r="K321" i="1"/>
  <c r="P321" i="1"/>
  <c r="Z80" i="1"/>
  <c r="AA80" i="1" s="1"/>
  <c r="V80" i="1" s="1"/>
  <c r="P80" i="1"/>
  <c r="Z51" i="1"/>
  <c r="AA51" i="1" s="1"/>
  <c r="V51" i="1" s="1"/>
  <c r="P51" i="1"/>
  <c r="Z8" i="1"/>
  <c r="AA8" i="1" s="1"/>
  <c r="V8" i="1" s="1"/>
  <c r="P8" i="1"/>
  <c r="P534" i="1"/>
  <c r="K534" i="1"/>
  <c r="Z63" i="1"/>
  <c r="AA63" i="1" s="1"/>
  <c r="V63" i="1" s="1"/>
  <c r="P63" i="1"/>
  <c r="AE507" i="1"/>
  <c r="P507" i="1"/>
  <c r="P506" i="1" s="1"/>
  <c r="Z75" i="1"/>
  <c r="AA75" i="1" s="1"/>
  <c r="V75" i="1" s="1"/>
  <c r="P75" i="1"/>
  <c r="P91" i="1"/>
  <c r="K91" i="1"/>
  <c r="Z329" i="1"/>
  <c r="AA329" i="1" s="1"/>
  <c r="V329" i="1" s="1"/>
  <c r="Q329" i="1" s="1"/>
  <c r="K329" i="1"/>
  <c r="P329" i="1"/>
  <c r="Z633" i="1"/>
  <c r="AA633" i="1" s="1"/>
  <c r="V633" i="1" s="1"/>
  <c r="P633" i="1"/>
  <c r="AE505" i="1"/>
  <c r="P505" i="1"/>
  <c r="P504" i="1" s="1"/>
  <c r="Z50" i="1"/>
  <c r="AA50" i="1" s="1"/>
  <c r="V50" i="1" s="1"/>
  <c r="P50" i="1"/>
  <c r="P512" i="1"/>
  <c r="K512" i="1"/>
  <c r="Z71" i="1"/>
  <c r="AA71" i="1" s="1"/>
  <c r="V71" i="1" s="1"/>
  <c r="P71" i="1"/>
  <c r="Z43" i="1"/>
  <c r="AA43" i="1" s="1"/>
  <c r="V43" i="1" s="1"/>
  <c r="P43" i="1"/>
  <c r="P523" i="1"/>
  <c r="K523" i="1"/>
  <c r="Z20" i="1"/>
  <c r="AA20" i="1" s="1"/>
  <c r="V20" i="1" s="1"/>
  <c r="P20" i="1"/>
  <c r="Z26" i="1"/>
  <c r="AA26" i="1" s="1"/>
  <c r="V26" i="1" s="1"/>
  <c r="P26" i="1"/>
  <c r="Z62" i="1"/>
  <c r="AA62" i="1" s="1"/>
  <c r="V62" i="1" s="1"/>
  <c r="P62" i="1"/>
  <c r="Z484" i="1"/>
  <c r="AA484" i="1" s="1"/>
  <c r="V484" i="1" s="1"/>
  <c r="P484" i="1"/>
  <c r="Z12" i="1"/>
  <c r="AA12" i="1" s="1"/>
  <c r="V12" i="1" s="1"/>
  <c r="P12" i="1"/>
  <c r="Z24" i="1"/>
  <c r="AA24" i="1" s="1"/>
  <c r="V24" i="1" s="1"/>
  <c r="P24" i="1"/>
  <c r="P535" i="1"/>
  <c r="K535" i="1"/>
  <c r="Z60" i="1"/>
  <c r="AA60" i="1" s="1"/>
  <c r="V60" i="1" s="1"/>
  <c r="P60" i="1"/>
  <c r="Z28" i="1"/>
  <c r="AA28" i="1" s="1"/>
  <c r="V28" i="1" s="1"/>
  <c r="P28" i="1"/>
  <c r="Z324" i="1"/>
  <c r="AA324" i="1" s="1"/>
  <c r="V324" i="1" s="1"/>
  <c r="K324" i="1"/>
  <c r="P324" i="1"/>
  <c r="Z46" i="1"/>
  <c r="AA46" i="1" s="1"/>
  <c r="V46" i="1" s="1"/>
  <c r="P46" i="1"/>
  <c r="P622" i="1"/>
  <c r="K622" i="1"/>
  <c r="Z54" i="1"/>
  <c r="AA54" i="1" s="1"/>
  <c r="V54" i="1" s="1"/>
  <c r="P54" i="1"/>
  <c r="Z66" i="1"/>
  <c r="AA66" i="1" s="1"/>
  <c r="V66" i="1" s="1"/>
  <c r="P66" i="1"/>
  <c r="Z74" i="1"/>
  <c r="AA74" i="1" s="1"/>
  <c r="V74" i="1" s="1"/>
  <c r="P74" i="1"/>
  <c r="Z76" i="1"/>
  <c r="AA76" i="1" s="1"/>
  <c r="V76" i="1" s="1"/>
  <c r="P76" i="1"/>
  <c r="Z31" i="1"/>
  <c r="AA31" i="1" s="1"/>
  <c r="V31" i="1" s="1"/>
  <c r="P31" i="1"/>
  <c r="Z38" i="1"/>
  <c r="AA38" i="1" s="1"/>
  <c r="V38" i="1" s="1"/>
  <c r="P38" i="1"/>
  <c r="Z48" i="1"/>
  <c r="AA48" i="1" s="1"/>
  <c r="V48" i="1" s="1"/>
  <c r="P48" i="1"/>
  <c r="Z72" i="1"/>
  <c r="AA72" i="1" s="1"/>
  <c r="V72" i="1" s="1"/>
  <c r="P72" i="1"/>
  <c r="Z323" i="1"/>
  <c r="AA323" i="1" s="1"/>
  <c r="V323" i="1" s="1"/>
  <c r="K323" i="1"/>
  <c r="P323" i="1"/>
  <c r="Z632" i="1"/>
  <c r="AA632" i="1" s="1"/>
  <c r="V632" i="1" s="1"/>
  <c r="P632" i="1"/>
  <c r="Z487" i="1"/>
  <c r="AA487" i="1" s="1"/>
  <c r="V487" i="1" s="1"/>
  <c r="P487" i="1"/>
  <c r="Z322" i="1"/>
  <c r="AA322" i="1" s="1"/>
  <c r="V322" i="1" s="1"/>
  <c r="K322" i="1"/>
  <c r="P322" i="1"/>
  <c r="P532" i="1"/>
  <c r="K532" i="1"/>
  <c r="P89" i="1"/>
  <c r="K89" i="1"/>
  <c r="Z22" i="1"/>
  <c r="AA22" i="1" s="1"/>
  <c r="V22" i="1" s="1"/>
  <c r="P22" i="1"/>
  <c r="Z64" i="1"/>
  <c r="AA64" i="1" s="1"/>
  <c r="V64" i="1" s="1"/>
  <c r="P64" i="1"/>
  <c r="P87" i="1"/>
  <c r="K87" i="1"/>
  <c r="Z70" i="1"/>
  <c r="AA70" i="1" s="1"/>
  <c r="V70" i="1" s="1"/>
  <c r="P70" i="1"/>
  <c r="P624" i="1"/>
  <c r="K624" i="1"/>
  <c r="Z73" i="1"/>
  <c r="AA73" i="1" s="1"/>
  <c r="V73" i="1" s="1"/>
  <c r="P73" i="1"/>
  <c r="Z332" i="1"/>
  <c r="AA332" i="1" s="1"/>
  <c r="V332" i="1" s="1"/>
  <c r="K332" i="1"/>
  <c r="P332" i="1"/>
  <c r="Z11" i="1"/>
  <c r="AA11" i="1" s="1"/>
  <c r="V11" i="1" s="1"/>
  <c r="P11" i="1"/>
  <c r="Z320" i="1"/>
  <c r="AA320" i="1" s="1"/>
  <c r="V320" i="1" s="1"/>
  <c r="K320" i="1"/>
  <c r="P320" i="1"/>
  <c r="Q330" i="1"/>
  <c r="L330" i="1" s="1"/>
  <c r="Z30" i="1"/>
  <c r="AA30" i="1" s="1"/>
  <c r="V30" i="1" s="1"/>
  <c r="P30" i="1"/>
  <c r="Z23" i="1"/>
  <c r="AA23" i="1" s="1"/>
  <c r="V23" i="1" s="1"/>
  <c r="P23" i="1"/>
  <c r="Z318" i="1"/>
  <c r="AA318" i="1" s="1"/>
  <c r="V318" i="1" s="1"/>
  <c r="K318" i="1"/>
  <c r="P318" i="1"/>
  <c r="P536" i="1"/>
  <c r="K536" i="1"/>
  <c r="Z59" i="1"/>
  <c r="AA59" i="1" s="1"/>
  <c r="V59" i="1" s="1"/>
  <c r="P59" i="1"/>
  <c r="Z327" i="1"/>
  <c r="AA327" i="1" s="1"/>
  <c r="V327" i="1" s="1"/>
  <c r="P327" i="1"/>
  <c r="K327" i="1"/>
  <c r="Z55" i="1"/>
  <c r="AA55" i="1" s="1"/>
  <c r="V55" i="1" s="1"/>
  <c r="P55" i="1"/>
  <c r="Z67" i="1"/>
  <c r="AA67" i="1" s="1"/>
  <c r="V67" i="1" s="1"/>
  <c r="P67" i="1"/>
  <c r="Z486" i="1"/>
  <c r="AA486" i="1" s="1"/>
  <c r="V486" i="1" s="1"/>
  <c r="P486" i="1"/>
  <c r="P623" i="1"/>
  <c r="K623" i="1"/>
  <c r="Z325" i="1"/>
  <c r="AA325" i="1" s="1"/>
  <c r="V325" i="1" s="1"/>
  <c r="K325" i="1"/>
  <c r="P325" i="1"/>
  <c r="Z32" i="1"/>
  <c r="AA32" i="1" s="1"/>
  <c r="V32" i="1" s="1"/>
  <c r="P32" i="1"/>
  <c r="Z16" i="1"/>
  <c r="AA16" i="1" s="1"/>
  <c r="V16" i="1" s="1"/>
  <c r="P16" i="1"/>
  <c r="Z317" i="1"/>
  <c r="AA317" i="1" s="1"/>
  <c r="V317" i="1" s="1"/>
  <c r="K317" i="1"/>
  <c r="P317" i="1"/>
  <c r="Z52" i="1"/>
  <c r="AA52" i="1" s="1"/>
  <c r="V52" i="1" s="1"/>
  <c r="P52" i="1"/>
  <c r="Z57" i="1"/>
  <c r="AA57" i="1" s="1"/>
  <c r="V57" i="1" s="1"/>
  <c r="P57" i="1"/>
  <c r="P93" i="1"/>
  <c r="K93" i="1"/>
  <c r="Z631" i="1"/>
  <c r="AA631" i="1" s="1"/>
  <c r="V631" i="1" s="1"/>
  <c r="P631" i="1"/>
  <c r="P92" i="1"/>
  <c r="K92" i="1"/>
  <c r="Z10" i="1"/>
  <c r="AA10" i="1" s="1"/>
  <c r="V10" i="1" s="1"/>
  <c r="P10" i="1"/>
  <c r="P533" i="1"/>
  <c r="K533" i="1"/>
  <c r="P521" i="1"/>
  <c r="K521" i="1"/>
  <c r="V102" i="1"/>
  <c r="Q102" i="1" s="1"/>
  <c r="L102" i="1" s="1"/>
  <c r="Z34" i="1"/>
  <c r="AA34" i="1" s="1"/>
  <c r="V34" i="1" s="1"/>
  <c r="P34" i="1"/>
  <c r="Z29" i="1"/>
  <c r="AA29" i="1" s="1"/>
  <c r="V29" i="1" s="1"/>
  <c r="P29" i="1"/>
  <c r="P620" i="1"/>
  <c r="K620" i="1"/>
  <c r="Z58" i="1"/>
  <c r="AA58" i="1" s="1"/>
  <c r="V58" i="1" s="1"/>
  <c r="P58" i="1"/>
  <c r="Z37" i="1"/>
  <c r="AA37" i="1" s="1"/>
  <c r="V37" i="1" s="1"/>
  <c r="P37" i="1"/>
  <c r="P520" i="1"/>
  <c r="K520" i="1"/>
  <c r="Z40" i="1"/>
  <c r="AA40" i="1" s="1"/>
  <c r="V40" i="1" s="1"/>
  <c r="P40" i="1"/>
  <c r="Z42" i="1"/>
  <c r="AA42" i="1" s="1"/>
  <c r="V42" i="1" s="1"/>
  <c r="P42" i="1"/>
  <c r="Z35" i="1"/>
  <c r="AA35" i="1" s="1"/>
  <c r="V35" i="1" s="1"/>
  <c r="P35" i="1"/>
  <c r="P524" i="1"/>
  <c r="K524" i="1"/>
  <c r="P621" i="1"/>
  <c r="K621" i="1"/>
  <c r="Q18" i="1"/>
  <c r="L18" i="1" s="1"/>
  <c r="P289" i="1"/>
  <c r="U289" i="1"/>
  <c r="V289" i="1" s="1"/>
  <c r="Q289" i="1" s="1"/>
  <c r="L289" i="1" s="1"/>
  <c r="P265" i="1"/>
  <c r="U265" i="1"/>
  <c r="V265" i="1" s="1"/>
  <c r="Z530" i="1"/>
  <c r="AA530" i="1" s="1"/>
  <c r="P530" i="1"/>
  <c r="U530" i="1"/>
  <c r="Z200" i="1"/>
  <c r="AA200" i="1" s="1"/>
  <c r="P200" i="1"/>
  <c r="U200" i="1"/>
  <c r="V200" i="1" s="1"/>
  <c r="Q200" i="1" s="1"/>
  <c r="L200" i="1" s="1"/>
  <c r="Z347" i="1"/>
  <c r="AA347" i="1" s="1"/>
  <c r="P347" i="1"/>
  <c r="U347" i="1"/>
  <c r="P254" i="1"/>
  <c r="U254" i="1"/>
  <c r="V254" i="1" s="1"/>
  <c r="Q254" i="1" s="1"/>
  <c r="L254" i="1" s="1"/>
  <c r="U256" i="1"/>
  <c r="V256" i="1" s="1"/>
  <c r="P256" i="1"/>
  <c r="P616" i="1"/>
  <c r="U616" i="1"/>
  <c r="V616" i="1" s="1"/>
  <c r="Q616" i="1" s="1"/>
  <c r="L616" i="1" s="1"/>
  <c r="Z164" i="1"/>
  <c r="AA164" i="1" s="1"/>
  <c r="P164" i="1"/>
  <c r="U164" i="1"/>
  <c r="Z540" i="1"/>
  <c r="AA540" i="1" s="1"/>
  <c r="P540" i="1"/>
  <c r="U540" i="1"/>
  <c r="V540" i="1" s="1"/>
  <c r="Q540" i="1" s="1"/>
  <c r="L540" i="1" s="1"/>
  <c r="F85" i="1"/>
  <c r="Z139" i="1"/>
  <c r="AA139" i="1" s="1"/>
  <c r="P139" i="1"/>
  <c r="U139" i="1"/>
  <c r="Z120" i="1"/>
  <c r="AA120" i="1" s="1"/>
  <c r="P120" i="1"/>
  <c r="U120" i="1"/>
  <c r="V120" i="1" s="1"/>
  <c r="Q120" i="1" s="1"/>
  <c r="L120" i="1" s="1"/>
  <c r="Z363" i="1"/>
  <c r="AA363" i="1" s="1"/>
  <c r="P363" i="1"/>
  <c r="U363" i="1"/>
  <c r="Z429" i="1"/>
  <c r="AA429" i="1" s="1"/>
  <c r="P429" i="1"/>
  <c r="U429" i="1"/>
  <c r="Z208" i="1"/>
  <c r="AA208" i="1" s="1"/>
  <c r="P208" i="1"/>
  <c r="U208" i="1"/>
  <c r="Z202" i="1"/>
  <c r="AA202" i="1" s="1"/>
  <c r="P202" i="1"/>
  <c r="U202" i="1"/>
  <c r="V202" i="1" s="1"/>
  <c r="Q202" i="1" s="1"/>
  <c r="L202" i="1" s="1"/>
  <c r="Z445" i="1"/>
  <c r="AA445" i="1" s="1"/>
  <c r="P445" i="1"/>
  <c r="U445" i="1"/>
  <c r="Z358" i="1"/>
  <c r="AA358" i="1" s="1"/>
  <c r="P358" i="1"/>
  <c r="U358" i="1"/>
  <c r="V358" i="1" s="1"/>
  <c r="Z546" i="1"/>
  <c r="AA546" i="1" s="1"/>
  <c r="P546" i="1"/>
  <c r="U546" i="1"/>
  <c r="Z529" i="1"/>
  <c r="AA529" i="1" s="1"/>
  <c r="P529" i="1"/>
  <c r="U529" i="1"/>
  <c r="Z564" i="1"/>
  <c r="AA564" i="1" s="1"/>
  <c r="P564" i="1"/>
  <c r="U564" i="1"/>
  <c r="V564" i="1" s="1"/>
  <c r="Z95" i="1"/>
  <c r="AA95" i="1" s="1"/>
  <c r="P95" i="1"/>
  <c r="U95" i="1"/>
  <c r="Z196" i="1"/>
  <c r="AA196" i="1" s="1"/>
  <c r="P196" i="1"/>
  <c r="U196" i="1"/>
  <c r="Z115" i="1"/>
  <c r="AA115" i="1" s="1"/>
  <c r="P115" i="1"/>
  <c r="U115" i="1"/>
  <c r="Z134" i="1"/>
  <c r="AA134" i="1" s="1"/>
  <c r="P134" i="1"/>
  <c r="U134" i="1"/>
  <c r="Z457" i="1"/>
  <c r="AA457" i="1" s="1"/>
  <c r="P457" i="1"/>
  <c r="U457" i="1"/>
  <c r="Z517" i="1"/>
  <c r="AA517" i="1" s="1"/>
  <c r="P517" i="1"/>
  <c r="U517" i="1"/>
  <c r="Z103" i="1"/>
  <c r="AA103" i="1" s="1"/>
  <c r="P103" i="1"/>
  <c r="U103" i="1"/>
  <c r="Z113" i="1"/>
  <c r="AA113" i="1" s="1"/>
  <c r="P113" i="1"/>
  <c r="U113" i="1"/>
  <c r="Z184" i="1"/>
  <c r="AA184" i="1" s="1"/>
  <c r="P184" i="1"/>
  <c r="U184" i="1"/>
  <c r="P263" i="1"/>
  <c r="U263" i="1"/>
  <c r="V263" i="1" s="1"/>
  <c r="P273" i="1"/>
  <c r="U273" i="1"/>
  <c r="V273" i="1" s="1"/>
  <c r="P302" i="1"/>
  <c r="U302" i="1"/>
  <c r="V302" i="1" s="1"/>
  <c r="Z586" i="1"/>
  <c r="AA586" i="1" s="1"/>
  <c r="P586" i="1"/>
  <c r="U586" i="1"/>
  <c r="Z574" i="1"/>
  <c r="AA574" i="1" s="1"/>
  <c r="P574" i="1"/>
  <c r="U574" i="1"/>
  <c r="V574" i="1" s="1"/>
  <c r="Q574" i="1" s="1"/>
  <c r="L574" i="1" s="1"/>
  <c r="Z172" i="1"/>
  <c r="AA172" i="1" s="1"/>
  <c r="P172" i="1"/>
  <c r="U172" i="1"/>
  <c r="P251" i="1"/>
  <c r="U251" i="1"/>
  <c r="V251" i="1" s="1"/>
  <c r="Q251" i="1" s="1"/>
  <c r="L251" i="1" s="1"/>
  <c r="P262" i="1"/>
  <c r="U262" i="1"/>
  <c r="V262" i="1" s="1"/>
  <c r="P249" i="1"/>
  <c r="U249" i="1"/>
  <c r="V249" i="1" s="1"/>
  <c r="P250" i="1"/>
  <c r="U250" i="1"/>
  <c r="V250" i="1" s="1"/>
  <c r="Q250" i="1" s="1"/>
  <c r="L250" i="1" s="1"/>
  <c r="Z355" i="1"/>
  <c r="AA355" i="1" s="1"/>
  <c r="P355" i="1"/>
  <c r="U355" i="1"/>
  <c r="V355" i="1" s="1"/>
  <c r="Q355" i="1" s="1"/>
  <c r="L355" i="1" s="1"/>
  <c r="Z562" i="1"/>
  <c r="AA562" i="1" s="1"/>
  <c r="P562" i="1"/>
  <c r="U562" i="1"/>
  <c r="Z98" i="1"/>
  <c r="AA98" i="1" s="1"/>
  <c r="P98" i="1"/>
  <c r="U98" i="1"/>
  <c r="P239" i="1"/>
  <c r="U239" i="1"/>
  <c r="V239" i="1" s="1"/>
  <c r="Q239" i="1" s="1"/>
  <c r="L239" i="1" s="1"/>
  <c r="P291" i="1"/>
  <c r="U291" i="1"/>
  <c r="V291" i="1" s="1"/>
  <c r="Q291" i="1" s="1"/>
  <c r="L291" i="1" s="1"/>
  <c r="P238" i="1"/>
  <c r="U238" i="1"/>
  <c r="V238" i="1" s="1"/>
  <c r="Q238" i="1" s="1"/>
  <c r="L238" i="1" s="1"/>
  <c r="Z225" i="1"/>
  <c r="AA225" i="1" s="1"/>
  <c r="U225" i="1"/>
  <c r="P225" i="1"/>
  <c r="Z183" i="1"/>
  <c r="AA183" i="1" s="1"/>
  <c r="P183" i="1"/>
  <c r="U183" i="1"/>
  <c r="P406" i="1"/>
  <c r="U406" i="1"/>
  <c r="V406" i="1" s="1"/>
  <c r="P409" i="1"/>
  <c r="U409" i="1"/>
  <c r="V409" i="1" s="1"/>
  <c r="Q409" i="1" s="1"/>
  <c r="L409" i="1" s="1"/>
  <c r="P593" i="1"/>
  <c r="U593" i="1"/>
  <c r="V593" i="1" s="1"/>
  <c r="P305" i="1"/>
  <c r="U305" i="1"/>
  <c r="V305" i="1" s="1"/>
  <c r="Z147" i="1"/>
  <c r="AA147" i="1" s="1"/>
  <c r="P147" i="1"/>
  <c r="U147" i="1"/>
  <c r="Z227" i="1"/>
  <c r="AA227" i="1" s="1"/>
  <c r="P227" i="1"/>
  <c r="U227" i="1"/>
  <c r="P267" i="1"/>
  <c r="U267" i="1"/>
  <c r="V267" i="1" s="1"/>
  <c r="Z214" i="1"/>
  <c r="AA214" i="1" s="1"/>
  <c r="P214" i="1"/>
  <c r="U214" i="1"/>
  <c r="Z201" i="1"/>
  <c r="AA201" i="1" s="1"/>
  <c r="P201" i="1"/>
  <c r="U201" i="1"/>
  <c r="V201" i="1" s="1"/>
  <c r="Q201" i="1" s="1"/>
  <c r="L201" i="1" s="1"/>
  <c r="Z132" i="1"/>
  <c r="AA132" i="1" s="1"/>
  <c r="P132" i="1"/>
  <c r="U132" i="1"/>
  <c r="Z538" i="1"/>
  <c r="AA538" i="1" s="1"/>
  <c r="P538" i="1"/>
  <c r="U538" i="1"/>
  <c r="V538" i="1" s="1"/>
  <c r="Q538" i="1" s="1"/>
  <c r="L538" i="1" s="1"/>
  <c r="Z568" i="1"/>
  <c r="AA568" i="1" s="1"/>
  <c r="P568" i="1"/>
  <c r="U568" i="1"/>
  <c r="P293" i="1"/>
  <c r="U293" i="1"/>
  <c r="V293" i="1" s="1"/>
  <c r="Q293" i="1" s="1"/>
  <c r="L293" i="1" s="1"/>
  <c r="Z135" i="1"/>
  <c r="AA135" i="1" s="1"/>
  <c r="P135" i="1"/>
  <c r="U135" i="1"/>
  <c r="V135" i="1" s="1"/>
  <c r="Q135" i="1" s="1"/>
  <c r="L135" i="1" s="1"/>
  <c r="Z215" i="1"/>
  <c r="AA215" i="1" s="1"/>
  <c r="P215" i="1"/>
  <c r="U215" i="1"/>
  <c r="V215" i="1" s="1"/>
  <c r="Q215" i="1" s="1"/>
  <c r="L215" i="1" s="1"/>
  <c r="P243" i="1"/>
  <c r="U243" i="1"/>
  <c r="V243" i="1" s="1"/>
  <c r="Q243" i="1" s="1"/>
  <c r="L243" i="1" s="1"/>
  <c r="Z190" i="1"/>
  <c r="AA190" i="1" s="1"/>
  <c r="P190" i="1"/>
  <c r="U190" i="1"/>
  <c r="Z177" i="1"/>
  <c r="AA177" i="1" s="1"/>
  <c r="P177" i="1"/>
  <c r="U177" i="1"/>
  <c r="Z439" i="1"/>
  <c r="AA439" i="1" s="1"/>
  <c r="P439" i="1"/>
  <c r="U439" i="1"/>
  <c r="U604" i="1"/>
  <c r="P604" i="1"/>
  <c r="Z526" i="1"/>
  <c r="AA526" i="1" s="1"/>
  <c r="P526" i="1"/>
  <c r="U526" i="1"/>
  <c r="Z559" i="1"/>
  <c r="AA559" i="1" s="1"/>
  <c r="P559" i="1"/>
  <c r="U559" i="1"/>
  <c r="P259" i="1"/>
  <c r="U259" i="1"/>
  <c r="V259" i="1" s="1"/>
  <c r="Q259" i="1" s="1"/>
  <c r="L259" i="1" s="1"/>
  <c r="U605" i="1"/>
  <c r="P605" i="1"/>
  <c r="Z122" i="1"/>
  <c r="AA122" i="1" s="1"/>
  <c r="P122" i="1"/>
  <c r="U122" i="1"/>
  <c r="Z455" i="1"/>
  <c r="AA455" i="1" s="1"/>
  <c r="P455" i="1"/>
  <c r="U455" i="1"/>
  <c r="Z185" i="1"/>
  <c r="AA185" i="1" s="1"/>
  <c r="P185" i="1"/>
  <c r="U185" i="1"/>
  <c r="V185" i="1" s="1"/>
  <c r="Q185" i="1" s="1"/>
  <c r="L185" i="1" s="1"/>
  <c r="P4" i="1"/>
  <c r="P3" i="1" s="1"/>
  <c r="U4" i="1"/>
  <c r="U3" i="1" s="1"/>
  <c r="Z173" i="1"/>
  <c r="AA173" i="1" s="1"/>
  <c r="P173" i="1"/>
  <c r="U173" i="1"/>
  <c r="P252" i="1"/>
  <c r="U252" i="1"/>
  <c r="V252" i="1" s="1"/>
  <c r="P242" i="1"/>
  <c r="U242" i="1"/>
  <c r="V242" i="1" s="1"/>
  <c r="Z189" i="1"/>
  <c r="AA189" i="1" s="1"/>
  <c r="P189" i="1"/>
  <c r="U189" i="1"/>
  <c r="Z448" i="1"/>
  <c r="AA448" i="1" s="1"/>
  <c r="P448" i="1"/>
  <c r="U448" i="1"/>
  <c r="Z548" i="1"/>
  <c r="AA548" i="1" s="1"/>
  <c r="P548" i="1"/>
  <c r="U548" i="1"/>
  <c r="Z552" i="1"/>
  <c r="AA552" i="1" s="1"/>
  <c r="P552" i="1"/>
  <c r="U552" i="1"/>
  <c r="Z163" i="1"/>
  <c r="AA163" i="1" s="1"/>
  <c r="P163" i="1"/>
  <c r="U163" i="1"/>
  <c r="Z205" i="1"/>
  <c r="AA205" i="1" s="1"/>
  <c r="P205" i="1"/>
  <c r="U205" i="1"/>
  <c r="P281" i="1"/>
  <c r="U281" i="1"/>
  <c r="V281" i="1" s="1"/>
  <c r="Q281" i="1" s="1"/>
  <c r="L281" i="1" s="1"/>
  <c r="Z128" i="1"/>
  <c r="AA128" i="1" s="1"/>
  <c r="P128" i="1"/>
  <c r="U128" i="1"/>
  <c r="P246" i="1"/>
  <c r="U246" i="1"/>
  <c r="V246" i="1" s="1"/>
  <c r="Q246" i="1" s="1"/>
  <c r="L246" i="1" s="1"/>
  <c r="Z349" i="1"/>
  <c r="AA349" i="1" s="1"/>
  <c r="P349" i="1"/>
  <c r="U349" i="1"/>
  <c r="Z459" i="1"/>
  <c r="AA459" i="1" s="1"/>
  <c r="P459" i="1"/>
  <c r="U459" i="1"/>
  <c r="P299" i="1"/>
  <c r="U299" i="1"/>
  <c r="V299" i="1" s="1"/>
  <c r="Q299" i="1" s="1"/>
  <c r="L299" i="1" s="1"/>
  <c r="Z558" i="1"/>
  <c r="AA558" i="1" s="1"/>
  <c r="P558" i="1"/>
  <c r="U558" i="1"/>
  <c r="Z175" i="1"/>
  <c r="AA175" i="1" s="1"/>
  <c r="P175" i="1"/>
  <c r="U175" i="1"/>
  <c r="P596" i="1"/>
  <c r="U596" i="1"/>
  <c r="V596" i="1" s="1"/>
  <c r="Z567" i="1"/>
  <c r="AA567" i="1" s="1"/>
  <c r="P567" i="1"/>
  <c r="U567" i="1"/>
  <c r="Z433" i="1"/>
  <c r="AA433" i="1" s="1"/>
  <c r="P433" i="1"/>
  <c r="U433" i="1"/>
  <c r="P405" i="1"/>
  <c r="U405" i="1"/>
  <c r="V405" i="1" s="1"/>
  <c r="P304" i="1"/>
  <c r="U304" i="1"/>
  <c r="V304" i="1" s="1"/>
  <c r="Z222" i="1"/>
  <c r="AA222" i="1" s="1"/>
  <c r="P222" i="1"/>
  <c r="U222" i="1"/>
  <c r="P268" i="1"/>
  <c r="U268" i="1"/>
  <c r="V268" i="1" s="1"/>
  <c r="Q268" i="1" s="1"/>
  <c r="L268" i="1" s="1"/>
  <c r="Z188" i="1"/>
  <c r="AA188" i="1" s="1"/>
  <c r="P188" i="1"/>
  <c r="U188" i="1"/>
  <c r="U603" i="1"/>
  <c r="P603" i="1"/>
  <c r="Z368" i="1"/>
  <c r="AA368" i="1" s="1"/>
  <c r="P368" i="1"/>
  <c r="U368" i="1"/>
  <c r="Z176" i="1"/>
  <c r="AA176" i="1" s="1"/>
  <c r="P176" i="1"/>
  <c r="U176" i="1"/>
  <c r="Z575" i="1"/>
  <c r="AA575" i="1" s="1"/>
  <c r="P575" i="1"/>
  <c r="U575" i="1"/>
  <c r="Z179" i="1"/>
  <c r="AA179" i="1" s="1"/>
  <c r="P179" i="1"/>
  <c r="U179" i="1"/>
  <c r="Z356" i="1"/>
  <c r="AA356" i="1" s="1"/>
  <c r="P356" i="1"/>
  <c r="U356" i="1"/>
  <c r="Z527" i="1"/>
  <c r="AA527" i="1" s="1"/>
  <c r="P527" i="1"/>
  <c r="U527" i="1"/>
  <c r="P245" i="1"/>
  <c r="U245" i="1"/>
  <c r="V245" i="1" s="1"/>
  <c r="Z229" i="1"/>
  <c r="AA229" i="1" s="1"/>
  <c r="P229" i="1"/>
  <c r="U229" i="1"/>
  <c r="Z561" i="1"/>
  <c r="AA561" i="1" s="1"/>
  <c r="P561" i="1"/>
  <c r="U561" i="1"/>
  <c r="Z221" i="1"/>
  <c r="AA221" i="1" s="1"/>
  <c r="P221" i="1"/>
  <c r="U221" i="1"/>
  <c r="P247" i="1"/>
  <c r="U247" i="1"/>
  <c r="V247" i="1" s="1"/>
  <c r="Q247" i="1" s="1"/>
  <c r="L247" i="1" s="1"/>
  <c r="Z542" i="1"/>
  <c r="AA542" i="1" s="1"/>
  <c r="P542" i="1"/>
  <c r="U542" i="1"/>
  <c r="P292" i="1"/>
  <c r="U292" i="1"/>
  <c r="V292" i="1" s="1"/>
  <c r="Q292" i="1" s="1"/>
  <c r="L292" i="1" s="1"/>
  <c r="Z153" i="1"/>
  <c r="AA153" i="1" s="1"/>
  <c r="P153" i="1"/>
  <c r="U153" i="1"/>
  <c r="Z580" i="1"/>
  <c r="AA580" i="1" s="1"/>
  <c r="P580" i="1"/>
  <c r="U580" i="1"/>
  <c r="Z198" i="1"/>
  <c r="AA198" i="1" s="1"/>
  <c r="P198" i="1"/>
  <c r="U198" i="1"/>
  <c r="Z217" i="1"/>
  <c r="AA217" i="1" s="1"/>
  <c r="P217" i="1"/>
  <c r="U217" i="1"/>
  <c r="V217" i="1" s="1"/>
  <c r="Q217" i="1" s="1"/>
  <c r="L217" i="1" s="1"/>
  <c r="U255" i="1"/>
  <c r="V255" i="1" s="1"/>
  <c r="P255" i="1"/>
  <c r="Z565" i="1"/>
  <c r="AA565" i="1" s="1"/>
  <c r="P565" i="1"/>
  <c r="U565" i="1"/>
  <c r="Z114" i="1"/>
  <c r="AA114" i="1" s="1"/>
  <c r="P114" i="1"/>
  <c r="U114" i="1"/>
  <c r="P410" i="1"/>
  <c r="U410" i="1"/>
  <c r="V410" i="1" s="1"/>
  <c r="Q410" i="1" s="1"/>
  <c r="L410" i="1" s="1"/>
  <c r="Z150" i="1"/>
  <c r="AA150" i="1" s="1"/>
  <c r="P150" i="1"/>
  <c r="U150" i="1"/>
  <c r="P474" i="1"/>
  <c r="U474" i="1"/>
  <c r="Z96" i="1"/>
  <c r="AA96" i="1" s="1"/>
  <c r="U96" i="1"/>
  <c r="P96" i="1"/>
  <c r="U287" i="1"/>
  <c r="V287" i="1" s="1"/>
  <c r="P287" i="1"/>
  <c r="Z219" i="1"/>
  <c r="AA219" i="1" s="1"/>
  <c r="P219" i="1"/>
  <c r="U219" i="1"/>
  <c r="V219" i="1" s="1"/>
  <c r="Q219" i="1" s="1"/>
  <c r="L219" i="1" s="1"/>
  <c r="U257" i="1"/>
  <c r="V257" i="1" s="1"/>
  <c r="P257" i="1"/>
  <c r="P279" i="1"/>
  <c r="U279" i="1"/>
  <c r="V279" i="1" s="1"/>
  <c r="Q279" i="1" s="1"/>
  <c r="L279" i="1" s="1"/>
  <c r="P236" i="1"/>
  <c r="U236" i="1"/>
  <c r="V236" i="1" s="1"/>
  <c r="Q236" i="1" s="1"/>
  <c r="L236" i="1" s="1"/>
  <c r="P271" i="1"/>
  <c r="U271" i="1"/>
  <c r="V271" i="1" s="1"/>
  <c r="Q271" i="1" s="1"/>
  <c r="L271" i="1" s="1"/>
  <c r="Z366" i="1"/>
  <c r="AA366" i="1" s="1"/>
  <c r="P366" i="1"/>
  <c r="U366" i="1"/>
  <c r="Z210" i="1"/>
  <c r="AA210" i="1" s="1"/>
  <c r="P210" i="1"/>
  <c r="U210" i="1"/>
  <c r="Z211" i="1"/>
  <c r="AA211" i="1" s="1"/>
  <c r="P211" i="1"/>
  <c r="U211" i="1"/>
  <c r="Z187" i="1"/>
  <c r="AA187" i="1" s="1"/>
  <c r="P187" i="1"/>
  <c r="U187" i="1"/>
  <c r="V187" i="1" s="1"/>
  <c r="Z193" i="1"/>
  <c r="AA193" i="1" s="1"/>
  <c r="P193" i="1"/>
  <c r="U193" i="1"/>
  <c r="Z138" i="1"/>
  <c r="AA138" i="1" s="1"/>
  <c r="P138" i="1"/>
  <c r="U138" i="1"/>
  <c r="Z576" i="1"/>
  <c r="AA576" i="1" s="1"/>
  <c r="P576" i="1"/>
  <c r="U576" i="1"/>
  <c r="Z151" i="1"/>
  <c r="AA151" i="1" s="1"/>
  <c r="P151" i="1"/>
  <c r="U151" i="1"/>
  <c r="Z220" i="1"/>
  <c r="AA220" i="1" s="1"/>
  <c r="P220" i="1"/>
  <c r="U220" i="1"/>
  <c r="Z541" i="1"/>
  <c r="AA541" i="1" s="1"/>
  <c r="P541" i="1"/>
  <c r="U541" i="1"/>
  <c r="Z127" i="1"/>
  <c r="AA127" i="1" s="1"/>
  <c r="P127" i="1"/>
  <c r="U127" i="1"/>
  <c r="Z203" i="1"/>
  <c r="AA203" i="1" s="1"/>
  <c r="P203" i="1"/>
  <c r="U203" i="1"/>
  <c r="P269" i="1"/>
  <c r="U269" i="1"/>
  <c r="V269" i="1" s="1"/>
  <c r="Z195" i="1"/>
  <c r="AA195" i="1" s="1"/>
  <c r="P195" i="1"/>
  <c r="U195" i="1"/>
  <c r="Z141" i="1"/>
  <c r="AA141" i="1" s="1"/>
  <c r="P141" i="1"/>
  <c r="U141" i="1"/>
  <c r="V141" i="1" s="1"/>
  <c r="Q141" i="1" s="1"/>
  <c r="L141" i="1" s="1"/>
  <c r="Z545" i="1"/>
  <c r="AA545" i="1" s="1"/>
  <c r="P545" i="1"/>
  <c r="U545" i="1"/>
  <c r="Z117" i="1"/>
  <c r="AA117" i="1" s="1"/>
  <c r="P117" i="1"/>
  <c r="U117" i="1"/>
  <c r="Z146" i="1"/>
  <c r="AA146" i="1" s="1"/>
  <c r="P146" i="1"/>
  <c r="U146" i="1"/>
  <c r="Z133" i="1"/>
  <c r="AA133" i="1" s="1"/>
  <c r="P133" i="1"/>
  <c r="U133" i="1"/>
  <c r="V133" i="1" s="1"/>
  <c r="Q133" i="1" s="1"/>
  <c r="L133" i="1" s="1"/>
  <c r="Z431" i="1"/>
  <c r="AA431" i="1" s="1"/>
  <c r="P431" i="1"/>
  <c r="U431" i="1"/>
  <c r="V431" i="1" s="1"/>
  <c r="Q431" i="1" s="1"/>
  <c r="L431" i="1" s="1"/>
  <c r="Z447" i="1"/>
  <c r="AA447" i="1" s="1"/>
  <c r="U447" i="1"/>
  <c r="P447" i="1"/>
  <c r="P285" i="1"/>
  <c r="U285" i="1"/>
  <c r="V285" i="1" s="1"/>
  <c r="Z461" i="1"/>
  <c r="AA461" i="1" s="1"/>
  <c r="P461" i="1"/>
  <c r="U461" i="1"/>
  <c r="Z209" i="1"/>
  <c r="AA209" i="1" s="1"/>
  <c r="P209" i="1"/>
  <c r="U209" i="1"/>
  <c r="Z130" i="1"/>
  <c r="AA130" i="1" s="1"/>
  <c r="P130" i="1"/>
  <c r="U130" i="1"/>
  <c r="P261" i="1"/>
  <c r="U261" i="1"/>
  <c r="V261" i="1" s="1"/>
  <c r="Z181" i="1"/>
  <c r="AA181" i="1" s="1"/>
  <c r="P181" i="1"/>
  <c r="U181" i="1"/>
  <c r="V181" i="1" s="1"/>
  <c r="Q181" i="1" s="1"/>
  <c r="L181" i="1" s="1"/>
  <c r="Z364" i="1"/>
  <c r="AA364" i="1" s="1"/>
  <c r="P364" i="1"/>
  <c r="U364" i="1"/>
  <c r="Z197" i="1"/>
  <c r="AA197" i="1" s="1"/>
  <c r="P197" i="1"/>
  <c r="U197" i="1"/>
  <c r="P276" i="1"/>
  <c r="U276" i="1"/>
  <c r="V276" i="1" s="1"/>
  <c r="Z126" i="1"/>
  <c r="AA126" i="1" s="1"/>
  <c r="P126" i="1"/>
  <c r="U126" i="1"/>
  <c r="Z359" i="1"/>
  <c r="AA359" i="1" s="1"/>
  <c r="P359" i="1"/>
  <c r="U359" i="1"/>
  <c r="Z213" i="1"/>
  <c r="AA213" i="1" s="1"/>
  <c r="P213" i="1"/>
  <c r="U213" i="1"/>
  <c r="P295" i="1"/>
  <c r="U295" i="1"/>
  <c r="V295" i="1" s="1"/>
  <c r="Q295" i="1" s="1"/>
  <c r="L295" i="1" s="1"/>
  <c r="P407" i="1"/>
  <c r="U407" i="1"/>
  <c r="V407" i="1" s="1"/>
  <c r="Z612" i="1"/>
  <c r="AA612" i="1" s="1"/>
  <c r="P612" i="1"/>
  <c r="U612" i="1"/>
  <c r="P277" i="1"/>
  <c r="U277" i="1"/>
  <c r="V277" i="1" s="1"/>
  <c r="Q277" i="1" s="1"/>
  <c r="L277" i="1" s="1"/>
  <c r="Z432" i="1"/>
  <c r="AA432" i="1" s="1"/>
  <c r="U432" i="1"/>
  <c r="V432" i="1" s="1"/>
  <c r="P432" i="1"/>
  <c r="Z610" i="1"/>
  <c r="AA610" i="1" s="1"/>
  <c r="P610" i="1"/>
  <c r="U610" i="1"/>
  <c r="Z148" i="1"/>
  <c r="AA148" i="1" s="1"/>
  <c r="P148" i="1"/>
  <c r="U148" i="1"/>
  <c r="P296" i="1"/>
  <c r="U296" i="1"/>
  <c r="V296" i="1" s="1"/>
  <c r="Q296" i="1" s="1"/>
  <c r="L296" i="1" s="1"/>
  <c r="Z194" i="1"/>
  <c r="AA194" i="1" s="1"/>
  <c r="P194" i="1"/>
  <c r="U194" i="1"/>
  <c r="V194" i="1" s="1"/>
  <c r="Q194" i="1" s="1"/>
  <c r="L194" i="1" s="1"/>
  <c r="Z223" i="1"/>
  <c r="AA223" i="1" s="1"/>
  <c r="P223" i="1"/>
  <c r="U223" i="1"/>
  <c r="Z136" i="1"/>
  <c r="AA136" i="1" s="1"/>
  <c r="P136" i="1"/>
  <c r="U136" i="1"/>
  <c r="Z216" i="1"/>
  <c r="AA216" i="1" s="1"/>
  <c r="P216" i="1"/>
  <c r="U216" i="1"/>
  <c r="Z170" i="1"/>
  <c r="AA170" i="1" s="1"/>
  <c r="P170" i="1"/>
  <c r="U170" i="1"/>
  <c r="V170" i="1" s="1"/>
  <c r="Q170" i="1" s="1"/>
  <c r="L170" i="1" s="1"/>
  <c r="Z441" i="1"/>
  <c r="AA441" i="1" s="1"/>
  <c r="P441" i="1"/>
  <c r="U441" i="1"/>
  <c r="Z551" i="1"/>
  <c r="AA551" i="1" s="1"/>
  <c r="P551" i="1"/>
  <c r="U551" i="1"/>
  <c r="Z124" i="1"/>
  <c r="AA124" i="1" s="1"/>
  <c r="P124" i="1"/>
  <c r="U124" i="1"/>
  <c r="Z204" i="1"/>
  <c r="AA204" i="1" s="1"/>
  <c r="P204" i="1"/>
  <c r="U204" i="1"/>
  <c r="V204" i="1" s="1"/>
  <c r="Q204" i="1" s="1"/>
  <c r="L204" i="1" s="1"/>
  <c r="P272" i="1"/>
  <c r="U272" i="1"/>
  <c r="V272" i="1" s="1"/>
  <c r="Q272" i="1" s="1"/>
  <c r="L272" i="1" s="1"/>
  <c r="P274" i="1"/>
  <c r="U274" i="1"/>
  <c r="V274" i="1" s="1"/>
  <c r="Z453" i="1"/>
  <c r="AA453" i="1" s="1"/>
  <c r="P453" i="1"/>
  <c r="U453" i="1"/>
  <c r="P595" i="1"/>
  <c r="U595" i="1"/>
  <c r="V595" i="1" s="1"/>
  <c r="Q595" i="1" s="1"/>
  <c r="L595" i="1" s="1"/>
  <c r="Z608" i="1"/>
  <c r="AA608" i="1" s="1"/>
  <c r="P608" i="1"/>
  <c r="U608" i="1"/>
  <c r="P270" i="1"/>
  <c r="U270" i="1"/>
  <c r="V270" i="1" s="1"/>
  <c r="Q270" i="1" s="1"/>
  <c r="L270" i="1" s="1"/>
  <c r="Z112" i="1"/>
  <c r="AA112" i="1" s="1"/>
  <c r="P112" i="1"/>
  <c r="U112" i="1"/>
  <c r="P260" i="1"/>
  <c r="U260" i="1"/>
  <c r="V260" i="1" s="1"/>
  <c r="Q260" i="1" s="1"/>
  <c r="L260" i="1" s="1"/>
  <c r="Z121" i="1"/>
  <c r="AA121" i="1" s="1"/>
  <c r="P121" i="1"/>
  <c r="U121" i="1"/>
  <c r="Z207" i="1"/>
  <c r="AA207" i="1" s="1"/>
  <c r="P207" i="1"/>
  <c r="U207" i="1"/>
  <c r="Z129" i="1"/>
  <c r="AA129" i="1" s="1"/>
  <c r="P129" i="1"/>
  <c r="U129" i="1"/>
  <c r="Z444" i="1"/>
  <c r="AA444" i="1" s="1"/>
  <c r="P444" i="1"/>
  <c r="U444" i="1"/>
  <c r="Z449" i="1"/>
  <c r="AA449" i="1" s="1"/>
  <c r="P449" i="1"/>
  <c r="U449" i="1"/>
  <c r="Z583" i="1"/>
  <c r="AA583" i="1" s="1"/>
  <c r="P583" i="1"/>
  <c r="U583" i="1"/>
  <c r="Z585" i="1"/>
  <c r="AA585" i="1" s="1"/>
  <c r="P585" i="1"/>
  <c r="U585" i="1"/>
  <c r="P618" i="1"/>
  <c r="U618" i="1"/>
  <c r="V618" i="1" s="1"/>
  <c r="Q618" i="1" s="1"/>
  <c r="L618" i="1" s="1"/>
  <c r="P283" i="1"/>
  <c r="U283" i="1"/>
  <c r="V283" i="1" s="1"/>
  <c r="Q283" i="1" s="1"/>
  <c r="L283" i="1" s="1"/>
  <c r="Z539" i="1"/>
  <c r="AA539" i="1" s="1"/>
  <c r="P539" i="1"/>
  <c r="U539" i="1"/>
  <c r="Z353" i="1"/>
  <c r="AA353" i="1" s="1"/>
  <c r="P353" i="1"/>
  <c r="U353" i="1"/>
  <c r="Z573" i="1"/>
  <c r="AA573" i="1" s="1"/>
  <c r="P573" i="1"/>
  <c r="U573" i="1"/>
  <c r="U280" i="1"/>
  <c r="V280" i="1" s="1"/>
  <c r="P280" i="1"/>
  <c r="P241" i="1"/>
  <c r="U241" i="1"/>
  <c r="V241" i="1" s="1"/>
  <c r="Q241" i="1" s="1"/>
  <c r="L241" i="1" s="1"/>
  <c r="Z518" i="1"/>
  <c r="AA518" i="1" s="1"/>
  <c r="P518" i="1"/>
  <c r="U518" i="1"/>
  <c r="Z119" i="1"/>
  <c r="AA119" i="1" s="1"/>
  <c r="P119" i="1"/>
  <c r="U119" i="1"/>
  <c r="Z451" i="1"/>
  <c r="AA451" i="1" s="1"/>
  <c r="P451" i="1"/>
  <c r="U451" i="1"/>
  <c r="Z577" i="1"/>
  <c r="AA577" i="1" s="1"/>
  <c r="U577" i="1"/>
  <c r="P577" i="1"/>
  <c r="Z169" i="1"/>
  <c r="AA169" i="1" s="1"/>
  <c r="P169" i="1"/>
  <c r="U169" i="1"/>
  <c r="V169" i="1" s="1"/>
  <c r="Q169" i="1" s="1"/>
  <c r="L169" i="1" s="1"/>
  <c r="Z582" i="1"/>
  <c r="AA582" i="1" s="1"/>
  <c r="P582" i="1"/>
  <c r="U582" i="1"/>
  <c r="Z144" i="1"/>
  <c r="AA144" i="1" s="1"/>
  <c r="P144" i="1"/>
  <c r="U144" i="1"/>
  <c r="P415" i="1"/>
  <c r="U415" i="1"/>
  <c r="V415" i="1" s="1"/>
  <c r="Q415" i="1" s="1"/>
  <c r="L415" i="1" s="1"/>
  <c r="Z570" i="1"/>
  <c r="AA570" i="1" s="1"/>
  <c r="P570" i="1"/>
  <c r="U570" i="1"/>
  <c r="Z149" i="1"/>
  <c r="AA149" i="1" s="1"/>
  <c r="P149" i="1"/>
  <c r="U149" i="1"/>
  <c r="Z123" i="1"/>
  <c r="AA123" i="1" s="1"/>
  <c r="P123" i="1"/>
  <c r="U123" i="1"/>
  <c r="Z166" i="1"/>
  <c r="AA166" i="1" s="1"/>
  <c r="P166" i="1"/>
  <c r="U166" i="1"/>
  <c r="Z452" i="1"/>
  <c r="AA452" i="1" s="1"/>
  <c r="P452" i="1"/>
  <c r="U452" i="1"/>
  <c r="Z191" i="1"/>
  <c r="AA191" i="1" s="1"/>
  <c r="P191" i="1"/>
  <c r="U191" i="1"/>
  <c r="Z435" i="1"/>
  <c r="AA435" i="1" s="1"/>
  <c r="P435" i="1"/>
  <c r="U435" i="1"/>
  <c r="Z100" i="1"/>
  <c r="AA100" i="1" s="1"/>
  <c r="P100" i="1"/>
  <c r="U100" i="1"/>
  <c r="Z171" i="1"/>
  <c r="AA171" i="1" s="1"/>
  <c r="P171" i="1"/>
  <c r="U171" i="1"/>
  <c r="Z167" i="1"/>
  <c r="AA167" i="1" s="1"/>
  <c r="P167" i="1"/>
  <c r="U167" i="1"/>
  <c r="V167" i="1" s="1"/>
  <c r="Q167" i="1" s="1"/>
  <c r="L167" i="1" s="1"/>
  <c r="Z427" i="1"/>
  <c r="AA427" i="1" s="1"/>
  <c r="P427" i="1"/>
  <c r="U427" i="1"/>
  <c r="P298" i="1"/>
  <c r="U298" i="1"/>
  <c r="V298" i="1" s="1"/>
  <c r="Q298" i="1" s="1"/>
  <c r="L298" i="1" s="1"/>
  <c r="Z443" i="1"/>
  <c r="AA443" i="1" s="1"/>
  <c r="P443" i="1"/>
  <c r="U443" i="1"/>
  <c r="P614" i="1"/>
  <c r="U614" i="1"/>
  <c r="V614" i="1" s="1"/>
  <c r="Z142" i="1"/>
  <c r="AA142" i="1" s="1"/>
  <c r="P142" i="1"/>
  <c r="U142" i="1"/>
  <c r="Z352" i="1"/>
  <c r="AA352" i="1" s="1"/>
  <c r="P352" i="1"/>
  <c r="U352" i="1"/>
  <c r="P414" i="1"/>
  <c r="U414" i="1"/>
  <c r="V414" i="1" s="1"/>
  <c r="Q414" i="1" s="1"/>
  <c r="L414" i="1" s="1"/>
  <c r="P592" i="1"/>
  <c r="U592" i="1"/>
  <c r="V592" i="1" s="1"/>
  <c r="Q592" i="1" s="1"/>
  <c r="L592" i="1" s="1"/>
  <c r="P288" i="1"/>
  <c r="U288" i="1"/>
  <c r="V288" i="1" s="1"/>
  <c r="Q288" i="1" s="1"/>
  <c r="L288" i="1" s="1"/>
  <c r="P278" i="1"/>
  <c r="U278" i="1"/>
  <c r="V278" i="1" s="1"/>
  <c r="Q278" i="1" s="1"/>
  <c r="L278" i="1" s="1"/>
  <c r="Z226" i="1"/>
  <c r="AA226" i="1" s="1"/>
  <c r="P226" i="1"/>
  <c r="U226" i="1"/>
  <c r="U602" i="1"/>
  <c r="P602" i="1"/>
  <c r="Z362" i="1"/>
  <c r="AA362" i="1" s="1"/>
  <c r="P362" i="1"/>
  <c r="U362" i="1"/>
  <c r="Z579" i="1"/>
  <c r="AA579" i="1" s="1"/>
  <c r="P579" i="1"/>
  <c r="U579" i="1"/>
  <c r="P266" i="1"/>
  <c r="U266" i="1"/>
  <c r="V266" i="1" s="1"/>
  <c r="Q266" i="1" s="1"/>
  <c r="L266" i="1" s="1"/>
  <c r="P308" i="1"/>
  <c r="U308" i="1"/>
  <c r="V308" i="1" s="1"/>
  <c r="Z165" i="1"/>
  <c r="AA165" i="1" s="1"/>
  <c r="U165" i="1"/>
  <c r="P165" i="1"/>
  <c r="Z178" i="1"/>
  <c r="AA178" i="1" s="1"/>
  <c r="P178" i="1"/>
  <c r="U178" i="1"/>
  <c r="Z360" i="1"/>
  <c r="AA360" i="1" s="1"/>
  <c r="P360" i="1"/>
  <c r="U360" i="1"/>
  <c r="Z543" i="1"/>
  <c r="AA543" i="1" s="1"/>
  <c r="P543" i="1"/>
  <c r="U543" i="1"/>
  <c r="Z228" i="1"/>
  <c r="AA228" i="1" s="1"/>
  <c r="P228" i="1"/>
  <c r="U228" i="1"/>
  <c r="Z110" i="1"/>
  <c r="AA110" i="1" s="1"/>
  <c r="P110" i="1"/>
  <c r="U110" i="1"/>
  <c r="V110" i="1" s="1"/>
  <c r="Q110" i="1" s="1"/>
  <c r="L110" i="1" s="1"/>
  <c r="P284" i="1"/>
  <c r="U284" i="1"/>
  <c r="V284" i="1" s="1"/>
  <c r="Q284" i="1" s="1"/>
  <c r="L284" i="1" s="1"/>
  <c r="Z116" i="1"/>
  <c r="AA116" i="1" s="1"/>
  <c r="P116" i="1"/>
  <c r="U116" i="1"/>
  <c r="P301" i="1"/>
  <c r="U301" i="1"/>
  <c r="V301" i="1" s="1"/>
  <c r="Z609" i="1"/>
  <c r="AA609" i="1" s="1"/>
  <c r="P609" i="1"/>
  <c r="U609" i="1"/>
  <c r="P282" i="1"/>
  <c r="U282" i="1"/>
  <c r="V282" i="1" s="1"/>
  <c r="Q282" i="1" s="1"/>
  <c r="L282" i="1" s="1"/>
  <c r="Z182" i="1"/>
  <c r="AA182" i="1" s="1"/>
  <c r="P182" i="1"/>
  <c r="U182" i="1"/>
  <c r="Z428" i="1"/>
  <c r="AA428" i="1" s="1"/>
  <c r="P428" i="1"/>
  <c r="U428" i="1"/>
  <c r="P258" i="1"/>
  <c r="U258" i="1"/>
  <c r="V258" i="1" s="1"/>
  <c r="P248" i="1"/>
  <c r="U248" i="1"/>
  <c r="V248" i="1" s="1"/>
  <c r="Q248" i="1" s="1"/>
  <c r="L248" i="1" s="1"/>
  <c r="P307" i="1"/>
  <c r="U307" i="1"/>
  <c r="V307" i="1" s="1"/>
  <c r="Z456" i="1"/>
  <c r="AA456" i="1" s="1"/>
  <c r="P456" i="1"/>
  <c r="U456" i="1"/>
  <c r="Z571" i="1"/>
  <c r="AA571" i="1" s="1"/>
  <c r="P571" i="1"/>
  <c r="U571" i="1"/>
  <c r="Z549" i="1"/>
  <c r="AA549" i="1" s="1"/>
  <c r="P549" i="1"/>
  <c r="U549" i="1"/>
  <c r="V351" i="1"/>
  <c r="Q351" i="1" s="1"/>
  <c r="L351" i="1" s="1"/>
  <c r="Z512" i="1"/>
  <c r="AA512" i="1" s="1"/>
  <c r="U512" i="1"/>
  <c r="Z511" i="1"/>
  <c r="AA511" i="1" s="1"/>
  <c r="U511" i="1"/>
  <c r="Z524" i="1"/>
  <c r="AA524" i="1" s="1"/>
  <c r="U524" i="1"/>
  <c r="Z523" i="1"/>
  <c r="AA523" i="1" s="1"/>
  <c r="U523" i="1"/>
  <c r="Z521" i="1"/>
  <c r="AA521" i="1" s="1"/>
  <c r="U521" i="1"/>
  <c r="Z520" i="1"/>
  <c r="AA520" i="1" s="1"/>
  <c r="U520" i="1"/>
  <c r="Z533" i="1"/>
  <c r="AA533" i="1" s="1"/>
  <c r="U533" i="1"/>
  <c r="Z532" i="1"/>
  <c r="AA532" i="1" s="1"/>
  <c r="U532" i="1"/>
  <c r="Z535" i="1"/>
  <c r="AA535" i="1" s="1"/>
  <c r="U535" i="1"/>
  <c r="Z534" i="1"/>
  <c r="AA534" i="1" s="1"/>
  <c r="U534" i="1"/>
  <c r="Z536" i="1"/>
  <c r="AA536" i="1" s="1"/>
  <c r="U536" i="1"/>
  <c r="Z514" i="1"/>
  <c r="AA514" i="1" s="1"/>
  <c r="Z515" i="1"/>
  <c r="AA515" i="1" s="1"/>
  <c r="Z620" i="1"/>
  <c r="AA620" i="1" s="1"/>
  <c r="U620" i="1"/>
  <c r="Z622" i="1"/>
  <c r="AA622" i="1" s="1"/>
  <c r="U622" i="1"/>
  <c r="Z624" i="1"/>
  <c r="AA624" i="1" s="1"/>
  <c r="U624" i="1"/>
  <c r="Z621" i="1"/>
  <c r="AA621" i="1" s="1"/>
  <c r="U621" i="1"/>
  <c r="Z623" i="1"/>
  <c r="AA623" i="1" s="1"/>
  <c r="U623" i="1"/>
  <c r="Z92" i="1"/>
  <c r="AA92" i="1" s="1"/>
  <c r="U92" i="1"/>
  <c r="Z93" i="1"/>
  <c r="AA93" i="1" s="1"/>
  <c r="U93" i="1"/>
  <c r="Z91" i="1"/>
  <c r="AA91" i="1" s="1"/>
  <c r="U91" i="1"/>
  <c r="Z87" i="1"/>
  <c r="AA87" i="1" s="1"/>
  <c r="U87" i="1"/>
  <c r="Z89" i="1"/>
  <c r="AA89" i="1" s="1"/>
  <c r="U89" i="1"/>
  <c r="I483" i="1"/>
  <c r="F600" i="1"/>
  <c r="AE629" i="1"/>
  <c r="AF629" i="1" s="1"/>
  <c r="Z629" i="1"/>
  <c r="AE603" i="1"/>
  <c r="Z603" i="1"/>
  <c r="AA603" i="1" s="1"/>
  <c r="AE605" i="1"/>
  <c r="Z605" i="1"/>
  <c r="AA605" i="1" s="1"/>
  <c r="AE4" i="1"/>
  <c r="AE3" i="1" s="1"/>
  <c r="Z4" i="1"/>
  <c r="AE654" i="1"/>
  <c r="Z654" i="1"/>
  <c r="AE474" i="1"/>
  <c r="AF474" i="1" s="1"/>
  <c r="Z474" i="1"/>
  <c r="AE647" i="1"/>
  <c r="AF647" i="1" s="1"/>
  <c r="Z647" i="1"/>
  <c r="AE604" i="1"/>
  <c r="Z604" i="1"/>
  <c r="AA604" i="1" s="1"/>
  <c r="AE640" i="1"/>
  <c r="AF640" i="1" s="1"/>
  <c r="Z640" i="1"/>
  <c r="I199" i="1"/>
  <c r="K199" i="1" s="1"/>
  <c r="I88" i="1"/>
  <c r="K88" i="1" s="1"/>
  <c r="I309" i="1"/>
  <c r="K309" i="1" s="1"/>
  <c r="I636" i="1"/>
  <c r="I300" i="1"/>
  <c r="K300" i="1" s="1"/>
  <c r="I109" i="1"/>
  <c r="K109" i="1" s="1"/>
  <c r="I625" i="1"/>
  <c r="K625" i="1" s="1"/>
  <c r="I65" i="1"/>
  <c r="I499" i="1"/>
  <c r="I591" i="1"/>
  <c r="K591" i="1" s="1"/>
  <c r="I104" i="1"/>
  <c r="K104" i="1" s="1"/>
  <c r="I118" i="1"/>
  <c r="K118" i="1" s="1"/>
  <c r="I237" i="1"/>
  <c r="K237" i="1" s="1"/>
  <c r="I99" i="1"/>
  <c r="K99" i="1" s="1"/>
  <c r="I264" i="1"/>
  <c r="K264" i="1" s="1"/>
  <c r="I411" i="1"/>
  <c r="K411" i="1" s="1"/>
  <c r="I646" i="1"/>
  <c r="I101" i="1"/>
  <c r="K101" i="1" s="1"/>
  <c r="I230" i="1"/>
  <c r="K230" i="1" s="1"/>
  <c r="I424" i="1"/>
  <c r="K424" i="1" s="1"/>
  <c r="K423" i="1" s="1"/>
  <c r="I41" i="1"/>
  <c r="I240" i="1"/>
  <c r="K240" i="1" s="1"/>
  <c r="I516" i="1"/>
  <c r="K516" i="1" s="1"/>
  <c r="I467" i="1"/>
  <c r="K467" i="1" s="1"/>
  <c r="I388" i="1"/>
  <c r="I639" i="1"/>
  <c r="I369" i="1"/>
  <c r="K369" i="1" s="1"/>
  <c r="I53" i="1"/>
  <c r="I145" i="1"/>
  <c r="K145" i="1" s="1"/>
  <c r="I641" i="1"/>
  <c r="I367" i="1"/>
  <c r="K367" i="1" s="1"/>
  <c r="I192" i="1"/>
  <c r="K192" i="1" s="1"/>
  <c r="I578" i="1"/>
  <c r="K578" i="1" s="1"/>
  <c r="I180" i="1"/>
  <c r="K180" i="1" s="1"/>
  <c r="I566" i="1"/>
  <c r="K566" i="1" s="1"/>
  <c r="I601" i="1"/>
  <c r="K601" i="1" s="1"/>
  <c r="I77" i="1"/>
  <c r="I316" i="1"/>
  <c r="I168" i="1"/>
  <c r="K168" i="1" s="1"/>
  <c r="I326" i="1"/>
  <c r="I340" i="1"/>
  <c r="K340" i="1" s="1"/>
  <c r="K339" i="1" s="1"/>
  <c r="I469" i="1"/>
  <c r="K469" i="1" s="1"/>
  <c r="I642" i="1"/>
  <c r="I619" i="1"/>
  <c r="K619" i="1" s="1"/>
  <c r="I17" i="1"/>
  <c r="I224" i="1"/>
  <c r="K224" i="1" s="1"/>
  <c r="I417" i="1"/>
  <c r="K417" i="1" s="1"/>
  <c r="I547" i="1"/>
  <c r="K547" i="1" s="1"/>
  <c r="I607" i="1"/>
  <c r="K607" i="1" s="1"/>
  <c r="I143" i="1"/>
  <c r="K143" i="1" s="1"/>
  <c r="I212" i="1"/>
  <c r="K212" i="1" s="1"/>
  <c r="I235" i="1"/>
  <c r="K235" i="1" s="1"/>
  <c r="I206" i="1"/>
  <c r="K206" i="1" s="1"/>
  <c r="I154" i="1"/>
  <c r="K154" i="1" s="1"/>
  <c r="I478" i="1"/>
  <c r="K478" i="1" s="1"/>
  <c r="I450" i="1"/>
  <c r="K450" i="1" s="1"/>
  <c r="I482" i="1"/>
  <c r="P482" i="1" s="1"/>
  <c r="I628" i="1"/>
  <c r="P628" i="1" s="1"/>
  <c r="I333" i="1"/>
  <c r="I404" i="1"/>
  <c r="K404" i="1" s="1"/>
  <c r="I357" i="1"/>
  <c r="K357" i="1" s="1"/>
  <c r="I61" i="1"/>
  <c r="I637" i="1"/>
  <c r="I645" i="1"/>
  <c r="I525" i="1"/>
  <c r="K525" i="1" s="1"/>
  <c r="I597" i="1"/>
  <c r="K597" i="1" s="1"/>
  <c r="I613" i="1"/>
  <c r="K613" i="1" s="1"/>
  <c r="I7" i="1"/>
  <c r="I544" i="1"/>
  <c r="K544" i="1" s="1"/>
  <c r="I13" i="1"/>
  <c r="I186" i="1"/>
  <c r="K186" i="1" s="1"/>
  <c r="I495" i="1"/>
  <c r="I348" i="1"/>
  <c r="K348" i="1" s="1"/>
  <c r="I594" i="1"/>
  <c r="K594" i="1" s="1"/>
  <c r="I90" i="1"/>
  <c r="K90" i="1" s="1"/>
  <c r="I174" i="1"/>
  <c r="K174" i="1" s="1"/>
  <c r="I244" i="1"/>
  <c r="K244" i="1" s="1"/>
  <c r="I490" i="1"/>
  <c r="I468" i="1"/>
  <c r="K468" i="1" s="1"/>
  <c r="I611" i="1"/>
  <c r="K611" i="1" s="1"/>
  <c r="I97" i="1"/>
  <c r="K97" i="1" s="1"/>
  <c r="I162" i="1"/>
  <c r="K162" i="1" s="1"/>
  <c r="I477" i="1"/>
  <c r="K477" i="1" s="1"/>
  <c r="I553" i="1"/>
  <c r="K553" i="1" s="1"/>
  <c r="I303" i="1"/>
  <c r="K303" i="1" s="1"/>
  <c r="I422" i="1"/>
  <c r="K422" i="1" s="1"/>
  <c r="I537" i="1"/>
  <c r="K537" i="1" s="1"/>
  <c r="I137" i="1"/>
  <c r="K137" i="1" s="1"/>
  <c r="I346" i="1"/>
  <c r="K346" i="1" s="1"/>
  <c r="I442" i="1"/>
  <c r="K442" i="1" s="1"/>
  <c r="I354" i="1"/>
  <c r="K354" i="1" s="1"/>
  <c r="I378" i="1"/>
  <c r="I125" i="1"/>
  <c r="K125" i="1" s="1"/>
  <c r="I275" i="1"/>
  <c r="K275" i="1" s="1"/>
  <c r="I297" i="1"/>
  <c r="K297" i="1" s="1"/>
  <c r="I649" i="1"/>
  <c r="I434" i="1"/>
  <c r="K434" i="1" s="1"/>
  <c r="I9" i="1"/>
  <c r="I337" i="1"/>
  <c r="K337" i="1" s="1"/>
  <c r="K336" i="1" s="1"/>
  <c r="I286" i="1"/>
  <c r="K286" i="1" s="1"/>
  <c r="I522" i="1"/>
  <c r="K522" i="1" s="1"/>
  <c r="I634" i="1"/>
  <c r="P634" i="1" s="1"/>
  <c r="I21" i="1"/>
  <c r="I33" i="1"/>
  <c r="I413" i="1"/>
  <c r="K413" i="1" s="1"/>
  <c r="I472" i="1"/>
  <c r="K472" i="1" s="1"/>
  <c r="I436" i="1"/>
  <c r="K436" i="1" s="1"/>
  <c r="I45" i="1"/>
  <c r="I94" i="1"/>
  <c r="K94" i="1" s="1"/>
  <c r="I418" i="1"/>
  <c r="K418" i="1" s="1"/>
  <c r="I421" i="1"/>
  <c r="K421" i="1" s="1"/>
  <c r="I361" i="1"/>
  <c r="K361" i="1" s="1"/>
  <c r="I458" i="1"/>
  <c r="K458" i="1" s="1"/>
  <c r="I25" i="1"/>
  <c r="I569" i="1"/>
  <c r="K569" i="1" s="1"/>
  <c r="I557" i="1"/>
  <c r="K557" i="1" s="1"/>
  <c r="I440" i="1"/>
  <c r="K440" i="1" s="1"/>
  <c r="I69" i="1"/>
  <c r="I152" i="1"/>
  <c r="K152" i="1" s="1"/>
  <c r="I438" i="1"/>
  <c r="K438" i="1" s="1"/>
  <c r="I81" i="1"/>
  <c r="I111" i="1"/>
  <c r="K111" i="1" s="1"/>
  <c r="I470" i="1"/>
  <c r="K470" i="1" s="1"/>
  <c r="I630" i="1"/>
  <c r="P630" i="1" s="1"/>
  <c r="I416" i="1"/>
  <c r="K416" i="1" s="1"/>
  <c r="I644" i="1"/>
  <c r="I615" i="1"/>
  <c r="K615" i="1" s="1"/>
  <c r="I617" i="1"/>
  <c r="K617" i="1" s="1"/>
  <c r="I563" i="1"/>
  <c r="K563" i="1" s="1"/>
  <c r="I581" i="1"/>
  <c r="K581" i="1" s="1"/>
  <c r="I572" i="1"/>
  <c r="K572" i="1" s="1"/>
  <c r="I587" i="1"/>
  <c r="K587" i="1" s="1"/>
  <c r="I560" i="1"/>
  <c r="K560" i="1" s="1"/>
  <c r="I584" i="1"/>
  <c r="K584" i="1" s="1"/>
  <c r="I513" i="1"/>
  <c r="K513" i="1" s="1"/>
  <c r="I550" i="1"/>
  <c r="K550" i="1" s="1"/>
  <c r="I528" i="1"/>
  <c r="K528" i="1" s="1"/>
  <c r="I531" i="1"/>
  <c r="K531" i="1" s="1"/>
  <c r="I510" i="1"/>
  <c r="K510" i="1" s="1"/>
  <c r="I519" i="1"/>
  <c r="K519" i="1" s="1"/>
  <c r="I488" i="1"/>
  <c r="P488" i="1" s="1"/>
  <c r="I485" i="1"/>
  <c r="P485" i="1" s="1"/>
  <c r="I480" i="1"/>
  <c r="K480" i="1" s="1"/>
  <c r="I479" i="1"/>
  <c r="K479" i="1" s="1"/>
  <c r="I476" i="1"/>
  <c r="K476" i="1" s="1"/>
  <c r="I475" i="1"/>
  <c r="K475" i="1" s="1"/>
  <c r="I473" i="1"/>
  <c r="K473" i="1" s="1"/>
  <c r="I471" i="1"/>
  <c r="K471" i="1" s="1"/>
  <c r="I466" i="1"/>
  <c r="K466" i="1" s="1"/>
  <c r="I465" i="1"/>
  <c r="K465" i="1" s="1"/>
  <c r="I460" i="1"/>
  <c r="K460" i="1" s="1"/>
  <c r="I446" i="1"/>
  <c r="K446" i="1" s="1"/>
  <c r="I430" i="1"/>
  <c r="K430" i="1" s="1"/>
  <c r="I426" i="1"/>
  <c r="K426" i="1" s="1"/>
  <c r="I462" i="1"/>
  <c r="K462" i="1" s="1"/>
  <c r="I454" i="1"/>
  <c r="K454" i="1" s="1"/>
  <c r="I400" i="1"/>
  <c r="I397" i="1"/>
  <c r="I383" i="1"/>
  <c r="I408" i="1"/>
  <c r="K408" i="1" s="1"/>
  <c r="I420" i="1"/>
  <c r="K420" i="1" s="1"/>
  <c r="I402" i="1"/>
  <c r="I401" i="1"/>
  <c r="I392" i="1"/>
  <c r="I306" i="1"/>
  <c r="K306" i="1" s="1"/>
  <c r="I343" i="1"/>
  <c r="AE343" i="1" s="1"/>
  <c r="AE342" i="1" s="1"/>
  <c r="I294" i="1"/>
  <c r="K294" i="1" s="1"/>
  <c r="I290" i="1"/>
  <c r="K290" i="1" s="1"/>
  <c r="I350" i="1"/>
  <c r="K350" i="1" s="1"/>
  <c r="I253" i="1"/>
  <c r="K253" i="1" s="1"/>
  <c r="I218" i="1"/>
  <c r="K218" i="1" s="1"/>
  <c r="I365" i="1"/>
  <c r="K365" i="1" s="1"/>
  <c r="I319" i="1"/>
  <c r="I140" i="1"/>
  <c r="K140" i="1" s="1"/>
  <c r="I131" i="1"/>
  <c r="K131" i="1" s="1"/>
  <c r="I86" i="1"/>
  <c r="K86" i="1" s="1"/>
  <c r="I49" i="1"/>
  <c r="F33" i="2"/>
  <c r="I32" i="2"/>
  <c r="G32" i="2"/>
  <c r="D33" i="2"/>
  <c r="V549" i="1" l="1"/>
  <c r="V541" i="1"/>
  <c r="Q541" i="1" s="1"/>
  <c r="L541" i="1" s="1"/>
  <c r="V586" i="1"/>
  <c r="Q586" i="1"/>
  <c r="L586" i="1" s="1"/>
  <c r="Q593" i="1"/>
  <c r="L593" i="1" s="1"/>
  <c r="Q307" i="1"/>
  <c r="L307" i="1" s="1"/>
  <c r="Q304" i="1"/>
  <c r="L304" i="1" s="1"/>
  <c r="Q285" i="1"/>
  <c r="L285" i="1" s="1"/>
  <c r="Q273" i="1"/>
  <c r="L273" i="1" s="1"/>
  <c r="Q263" i="1"/>
  <c r="L263" i="1" s="1"/>
  <c r="Q262" i="1"/>
  <c r="L262" i="1" s="1"/>
  <c r="P649" i="1"/>
  <c r="P648" i="1" s="1"/>
  <c r="K649" i="1"/>
  <c r="K648" i="1" s="1"/>
  <c r="E26" i="2" s="1"/>
  <c r="P45" i="1"/>
  <c r="K45" i="1"/>
  <c r="K600" i="1"/>
  <c r="E21" i="2" s="1"/>
  <c r="V130" i="1"/>
  <c r="V604" i="1"/>
  <c r="Q604" i="1" s="1"/>
  <c r="L604" i="1" s="1"/>
  <c r="P481" i="1"/>
  <c r="P41" i="1"/>
  <c r="K41" i="1"/>
  <c r="Q72" i="1"/>
  <c r="L72" i="1" s="1"/>
  <c r="V347" i="1"/>
  <c r="Q347" i="1" s="1"/>
  <c r="L347" i="1" s="1"/>
  <c r="AE400" i="1"/>
  <c r="AF400" i="1" s="1"/>
  <c r="K400" i="1"/>
  <c r="P81" i="1"/>
  <c r="K81" i="1"/>
  <c r="P61" i="1"/>
  <c r="K61" i="1"/>
  <c r="P639" i="1"/>
  <c r="K639" i="1"/>
  <c r="V443" i="1"/>
  <c r="Q443" i="1" s="1"/>
  <c r="L443" i="1" s="1"/>
  <c r="P77" i="1"/>
  <c r="K77" i="1"/>
  <c r="AE388" i="1"/>
  <c r="AF388" i="1" s="1"/>
  <c r="AH388" i="1" s="1"/>
  <c r="K388" i="1"/>
  <c r="Q29" i="1"/>
  <c r="L29" i="1" s="1"/>
  <c r="Q16" i="1"/>
  <c r="L16" i="1" s="1"/>
  <c r="Q76" i="1"/>
  <c r="L76" i="1" s="1"/>
  <c r="L329" i="1"/>
  <c r="V223" i="1"/>
  <c r="P69" i="1"/>
  <c r="K69" i="1"/>
  <c r="P49" i="1"/>
  <c r="K49" i="1"/>
  <c r="P13" i="1"/>
  <c r="K13" i="1"/>
  <c r="P33" i="1"/>
  <c r="K33" i="1"/>
  <c r="P17" i="1"/>
  <c r="K17" i="1"/>
  <c r="AE401" i="1"/>
  <c r="AF401" i="1" s="1"/>
  <c r="AA401" i="1" s="1"/>
  <c r="K401" i="1"/>
  <c r="P21" i="1"/>
  <c r="K21" i="1"/>
  <c r="AE378" i="1"/>
  <c r="AF378" i="1" s="1"/>
  <c r="AA378" i="1" s="1"/>
  <c r="K378" i="1"/>
  <c r="K377" i="1" s="1"/>
  <c r="P7" i="1"/>
  <c r="P6" i="1" s="1"/>
  <c r="K7" i="1"/>
  <c r="P65" i="1"/>
  <c r="K65" i="1"/>
  <c r="V178" i="1"/>
  <c r="V205" i="1"/>
  <c r="P644" i="1"/>
  <c r="K644" i="1"/>
  <c r="V121" i="1"/>
  <c r="Q121" i="1" s="1"/>
  <c r="L121" i="1" s="1"/>
  <c r="Q54" i="1"/>
  <c r="L54" i="1" s="1"/>
  <c r="K108" i="1"/>
  <c r="P646" i="1"/>
  <c r="K646" i="1"/>
  <c r="V166" i="1"/>
  <c r="Q166" i="1" s="1"/>
  <c r="L166" i="1" s="1"/>
  <c r="Q63" i="1"/>
  <c r="L63" i="1" s="1"/>
  <c r="AE383" i="1"/>
  <c r="AF383" i="1" s="1"/>
  <c r="K383" i="1"/>
  <c r="P645" i="1"/>
  <c r="K645" i="1"/>
  <c r="P53" i="1"/>
  <c r="K53" i="1"/>
  <c r="P636" i="1"/>
  <c r="P635" i="1" s="1"/>
  <c r="K636" i="1"/>
  <c r="V435" i="1"/>
  <c r="Q435" i="1" s="1"/>
  <c r="L435" i="1" s="1"/>
  <c r="V112" i="1"/>
  <c r="Q112" i="1" s="1"/>
  <c r="L112" i="1" s="1"/>
  <c r="V220" i="1"/>
  <c r="Q220" i="1" s="1"/>
  <c r="L220" i="1" s="1"/>
  <c r="V188" i="1"/>
  <c r="Q188" i="1" s="1"/>
  <c r="L188" i="1" s="1"/>
  <c r="AE392" i="1"/>
  <c r="K392" i="1"/>
  <c r="Q80" i="1"/>
  <c r="L80" i="1" s="1"/>
  <c r="AE402" i="1"/>
  <c r="AF402" i="1" s="1"/>
  <c r="AH402" i="1" s="1"/>
  <c r="K402" i="1"/>
  <c r="P25" i="1"/>
  <c r="K25" i="1"/>
  <c r="P642" i="1"/>
  <c r="K642" i="1"/>
  <c r="V132" i="1"/>
  <c r="Q132" i="1" s="1"/>
  <c r="L132" i="1" s="1"/>
  <c r="P641" i="1"/>
  <c r="P638" i="1" s="1"/>
  <c r="K641" i="1"/>
  <c r="AE397" i="1"/>
  <c r="AF397" i="1" s="1"/>
  <c r="K397" i="1"/>
  <c r="P9" i="1"/>
  <c r="K9" i="1"/>
  <c r="P637" i="1"/>
  <c r="K637" i="1"/>
  <c r="Q274" i="1"/>
  <c r="L274" i="1" s="1"/>
  <c r="Q276" i="1"/>
  <c r="L276" i="1" s="1"/>
  <c r="Q269" i="1"/>
  <c r="L269" i="1" s="1"/>
  <c r="V575" i="1"/>
  <c r="Q575" i="1" s="1"/>
  <c r="L575" i="1" s="1"/>
  <c r="V433" i="1"/>
  <c r="Q433" i="1" s="1"/>
  <c r="L433" i="1" s="1"/>
  <c r="V128" i="1"/>
  <c r="V214" i="1"/>
  <c r="Q214" i="1" s="1"/>
  <c r="L214" i="1" s="1"/>
  <c r="Q64" i="1"/>
  <c r="L64" i="1" s="1"/>
  <c r="V536" i="1"/>
  <c r="Q536" i="1" s="1"/>
  <c r="L536" i="1" s="1"/>
  <c r="V534" i="1"/>
  <c r="Q534" i="1" s="1"/>
  <c r="L534" i="1" s="1"/>
  <c r="V532" i="1"/>
  <c r="K412" i="1"/>
  <c r="Q27" i="1"/>
  <c r="L27" i="1" s="1"/>
  <c r="Q56" i="1"/>
  <c r="L56" i="1" s="1"/>
  <c r="Q631" i="1"/>
  <c r="L631" i="1" s="1"/>
  <c r="Q324" i="1"/>
  <c r="L324" i="1" s="1"/>
  <c r="Q633" i="1"/>
  <c r="L633" i="1" s="1"/>
  <c r="V580" i="1"/>
  <c r="Q580" i="1" s="1"/>
  <c r="L580" i="1" s="1"/>
  <c r="V548" i="1"/>
  <c r="Q548" i="1" s="1"/>
  <c r="L548" i="1" s="1"/>
  <c r="V171" i="1"/>
  <c r="Q171" i="1" s="1"/>
  <c r="L171" i="1" s="1"/>
  <c r="V582" i="1"/>
  <c r="Q582" i="1" s="1"/>
  <c r="L582" i="1" s="1"/>
  <c r="V126" i="1"/>
  <c r="Q126" i="1" s="1"/>
  <c r="L126" i="1" s="1"/>
  <c r="Q302" i="1"/>
  <c r="L302" i="1" s="1"/>
  <c r="Q318" i="1"/>
  <c r="L318" i="1" s="1"/>
  <c r="Q322" i="1"/>
  <c r="L322" i="1" s="1"/>
  <c r="Q28" i="1"/>
  <c r="L28" i="1" s="1"/>
  <c r="Q15" i="1"/>
  <c r="L15" i="1" s="1"/>
  <c r="K425" i="1"/>
  <c r="E15" i="2" s="1"/>
  <c r="P643" i="1"/>
  <c r="Q57" i="1"/>
  <c r="L57" i="1" s="1"/>
  <c r="Q23" i="1"/>
  <c r="L23" i="1" s="1"/>
  <c r="Q487" i="1"/>
  <c r="L487" i="1" s="1"/>
  <c r="Q60" i="1"/>
  <c r="L60" i="1" s="1"/>
  <c r="Q44" i="1"/>
  <c r="L44" i="1" s="1"/>
  <c r="V151" i="1"/>
  <c r="Q151" i="1" s="1"/>
  <c r="L151" i="1" s="1"/>
  <c r="V175" i="1"/>
  <c r="Q175" i="1" s="1"/>
  <c r="L175" i="1" s="1"/>
  <c r="Q35" i="1"/>
  <c r="L35" i="1" s="1"/>
  <c r="Q52" i="1"/>
  <c r="L52" i="1" s="1"/>
  <c r="Q30" i="1"/>
  <c r="L30" i="1" s="1"/>
  <c r="Q632" i="1"/>
  <c r="L632" i="1" s="1"/>
  <c r="Q42" i="1"/>
  <c r="L42" i="1" s="1"/>
  <c r="Q75" i="1"/>
  <c r="L75" i="1" s="1"/>
  <c r="K464" i="1"/>
  <c r="E16" i="2" s="1"/>
  <c r="K403" i="1"/>
  <c r="Q24" i="1"/>
  <c r="L24" i="1" s="1"/>
  <c r="Q79" i="1"/>
  <c r="L79" i="1" s="1"/>
  <c r="K333" i="1"/>
  <c r="P333" i="1"/>
  <c r="V542" i="1"/>
  <c r="Q542" i="1" s="1"/>
  <c r="L542" i="1" s="1"/>
  <c r="Q40" i="1"/>
  <c r="L40" i="1" s="1"/>
  <c r="Q317" i="1"/>
  <c r="L317" i="1" s="1"/>
  <c r="Q323" i="1"/>
  <c r="L323" i="1" s="1"/>
  <c r="AE506" i="1"/>
  <c r="E19" i="2" s="1"/>
  <c r="AF507" i="1"/>
  <c r="K345" i="1"/>
  <c r="E13" i="2" s="1"/>
  <c r="P627" i="1"/>
  <c r="E22" i="2" s="1"/>
  <c r="V571" i="1"/>
  <c r="Q571" i="1" s="1"/>
  <c r="L571" i="1" s="1"/>
  <c r="V583" i="1"/>
  <c r="Q267" i="1"/>
  <c r="L267" i="1" s="1"/>
  <c r="Q320" i="1"/>
  <c r="L320" i="1" s="1"/>
  <c r="Q12" i="1"/>
  <c r="L12" i="1" s="1"/>
  <c r="Q14" i="1"/>
  <c r="L14" i="1" s="1"/>
  <c r="Q36" i="1"/>
  <c r="L36" i="1" s="1"/>
  <c r="AE499" i="1"/>
  <c r="AF499" i="1" s="1"/>
  <c r="AH499" i="1" s="1"/>
  <c r="P499" i="1"/>
  <c r="Q22" i="1"/>
  <c r="L22" i="1" s="1"/>
  <c r="K326" i="1"/>
  <c r="P326" i="1"/>
  <c r="V115" i="1"/>
  <c r="K419" i="1"/>
  <c r="V545" i="1"/>
  <c r="Q545" i="1" s="1"/>
  <c r="L545" i="1" s="1"/>
  <c r="Q62" i="1"/>
  <c r="L62" i="1" s="1"/>
  <c r="Q58" i="1"/>
  <c r="L58" i="1" s="1"/>
  <c r="Q332" i="1"/>
  <c r="L332" i="1" s="1"/>
  <c r="Q38" i="1"/>
  <c r="L38" i="1" s="1"/>
  <c r="Q8" i="1"/>
  <c r="L8" i="1" s="1"/>
  <c r="Q328" i="1"/>
  <c r="L328" i="1" s="1"/>
  <c r="K234" i="1"/>
  <c r="V605" i="1"/>
  <c r="Q605" i="1" s="1"/>
  <c r="L605" i="1" s="1"/>
  <c r="V119" i="1"/>
  <c r="Q119" i="1" s="1"/>
  <c r="L119" i="1" s="1"/>
  <c r="Q325" i="1"/>
  <c r="L325" i="1" s="1"/>
  <c r="Q26" i="1"/>
  <c r="L26" i="1" s="1"/>
  <c r="K319" i="1"/>
  <c r="P319" i="1"/>
  <c r="K161" i="1"/>
  <c r="Q432" i="1"/>
  <c r="L432" i="1" s="1"/>
  <c r="Q73" i="1"/>
  <c r="L73" i="1" s="1"/>
  <c r="Q31" i="1"/>
  <c r="L31" i="1" s="1"/>
  <c r="Q51" i="1"/>
  <c r="L51" i="1" s="1"/>
  <c r="Q19" i="1"/>
  <c r="L19" i="1" s="1"/>
  <c r="V603" i="1"/>
  <c r="Q603" i="1" s="1"/>
  <c r="L603" i="1" s="1"/>
  <c r="V535" i="1"/>
  <c r="Q535" i="1" s="1"/>
  <c r="L535" i="1" s="1"/>
  <c r="Q258" i="1"/>
  <c r="L258" i="1" s="1"/>
  <c r="V142" i="1"/>
  <c r="Q142" i="1" s="1"/>
  <c r="L142" i="1" s="1"/>
  <c r="V561" i="1"/>
  <c r="Q561" i="1" s="1"/>
  <c r="L561" i="1" s="1"/>
  <c r="Q249" i="1"/>
  <c r="L249" i="1" s="1"/>
  <c r="Q20" i="1"/>
  <c r="L20" i="1" s="1"/>
  <c r="Q327" i="1"/>
  <c r="L327" i="1" s="1"/>
  <c r="Q10" i="1"/>
  <c r="L10" i="1" s="1"/>
  <c r="Q59" i="1"/>
  <c r="L59" i="1" s="1"/>
  <c r="V539" i="1"/>
  <c r="Q539" i="1" s="1"/>
  <c r="L539" i="1" s="1"/>
  <c r="AF505" i="1"/>
  <c r="AE504" i="1"/>
  <c r="E18" i="2" s="1"/>
  <c r="Q46" i="1"/>
  <c r="L46" i="1" s="1"/>
  <c r="Q301" i="1"/>
  <c r="L301" i="1" s="1"/>
  <c r="Q532" i="1"/>
  <c r="L532" i="1" s="1"/>
  <c r="Q486" i="1"/>
  <c r="L486" i="1" s="1"/>
  <c r="L331" i="1"/>
  <c r="V551" i="1"/>
  <c r="Q551" i="1" s="1"/>
  <c r="L551" i="1" s="1"/>
  <c r="Q34" i="1"/>
  <c r="L34" i="1" s="1"/>
  <c r="Q70" i="1"/>
  <c r="L70" i="1" s="1"/>
  <c r="Q74" i="1"/>
  <c r="L74" i="1" s="1"/>
  <c r="AE490" i="1"/>
  <c r="AF490" i="1" s="1"/>
  <c r="AA490" i="1" s="1"/>
  <c r="P490" i="1"/>
  <c r="Q67" i="1"/>
  <c r="L67" i="1" s="1"/>
  <c r="Q43" i="1"/>
  <c r="L43" i="1" s="1"/>
  <c r="Q321" i="1"/>
  <c r="L321" i="1" s="1"/>
  <c r="Q78" i="1"/>
  <c r="L78" i="1" s="1"/>
  <c r="K590" i="1"/>
  <c r="AE495" i="1"/>
  <c r="AF495" i="1" s="1"/>
  <c r="AH495" i="1" s="1"/>
  <c r="P495" i="1"/>
  <c r="Q50" i="1"/>
  <c r="L50" i="1" s="1"/>
  <c r="K316" i="1"/>
  <c r="P316" i="1"/>
  <c r="V543" i="1"/>
  <c r="Q543" i="1" s="1"/>
  <c r="L543" i="1" s="1"/>
  <c r="Q11" i="1"/>
  <c r="L11" i="1" s="1"/>
  <c r="Q484" i="1"/>
  <c r="L484" i="1" s="1"/>
  <c r="V456" i="1"/>
  <c r="Q456" i="1" s="1"/>
  <c r="L456" i="1" s="1"/>
  <c r="Q37" i="1"/>
  <c r="L37" i="1" s="1"/>
  <c r="Q32" i="1"/>
  <c r="L32" i="1" s="1"/>
  <c r="Q48" i="1"/>
  <c r="L48" i="1" s="1"/>
  <c r="K85" i="1"/>
  <c r="E11" i="2" s="1"/>
  <c r="K556" i="1"/>
  <c r="K509" i="1"/>
  <c r="Z483" i="1"/>
  <c r="AA483" i="1" s="1"/>
  <c r="V483" i="1" s="1"/>
  <c r="P483" i="1"/>
  <c r="V182" i="1"/>
  <c r="Q182" i="1" s="1"/>
  <c r="L182" i="1" s="1"/>
  <c r="V209" i="1"/>
  <c r="Q209" i="1" s="1"/>
  <c r="L209" i="1" s="1"/>
  <c r="V203" i="1"/>
  <c r="Q203" i="1" s="1"/>
  <c r="L203" i="1" s="1"/>
  <c r="V134" i="1"/>
  <c r="Q134" i="1" s="1"/>
  <c r="L134" i="1" s="1"/>
  <c r="Q66" i="1"/>
  <c r="L66" i="1" s="1"/>
  <c r="Q308" i="1"/>
  <c r="L308" i="1" s="1"/>
  <c r="V573" i="1"/>
  <c r="Q573" i="1" s="1"/>
  <c r="L573" i="1" s="1"/>
  <c r="Q245" i="1"/>
  <c r="L245" i="1" s="1"/>
  <c r="Q405" i="1"/>
  <c r="L405" i="1" s="1"/>
  <c r="V172" i="1"/>
  <c r="Q172" i="1" s="1"/>
  <c r="L172" i="1" s="1"/>
  <c r="V208" i="1"/>
  <c r="Q208" i="1" s="1"/>
  <c r="L208" i="1" s="1"/>
  <c r="V530" i="1"/>
  <c r="Q530" i="1" s="1"/>
  <c r="L530" i="1" s="1"/>
  <c r="Q55" i="1"/>
  <c r="L55" i="1" s="1"/>
  <c r="Q71" i="1"/>
  <c r="L71" i="1" s="1"/>
  <c r="Q39" i="1"/>
  <c r="L39" i="1" s="1"/>
  <c r="Q47" i="1"/>
  <c r="L47" i="1" s="1"/>
  <c r="Q358" i="1"/>
  <c r="L358" i="1" s="1"/>
  <c r="Q583" i="1"/>
  <c r="L583" i="1" s="1"/>
  <c r="Q549" i="1"/>
  <c r="L549" i="1" s="1"/>
  <c r="Q406" i="1"/>
  <c r="L406" i="1" s="1"/>
  <c r="Q187" i="1"/>
  <c r="L187" i="1" s="1"/>
  <c r="Q115" i="1"/>
  <c r="L115" i="1" s="1"/>
  <c r="AE253" i="1"/>
  <c r="AF253" i="1" s="1"/>
  <c r="P253" i="1"/>
  <c r="U253" i="1"/>
  <c r="AE417" i="1"/>
  <c r="AF417" i="1" s="1"/>
  <c r="P417" i="1"/>
  <c r="U417" i="1"/>
  <c r="P224" i="1"/>
  <c r="U224" i="1"/>
  <c r="V362" i="1"/>
  <c r="Q362" i="1" s="1"/>
  <c r="L362" i="1" s="1"/>
  <c r="AE290" i="1"/>
  <c r="AF290" i="1" s="1"/>
  <c r="P290" i="1"/>
  <c r="U290" i="1"/>
  <c r="AE294" i="1"/>
  <c r="AF294" i="1" s="1"/>
  <c r="P294" i="1"/>
  <c r="U294" i="1"/>
  <c r="V138" i="1"/>
  <c r="Q138" i="1" s="1"/>
  <c r="L138" i="1" s="1"/>
  <c r="P361" i="1"/>
  <c r="U361" i="1"/>
  <c r="V427" i="1"/>
  <c r="Q427" i="1" s="1"/>
  <c r="L427" i="1" s="1"/>
  <c r="V359" i="1"/>
  <c r="Q359" i="1" s="1"/>
  <c r="L359" i="1" s="1"/>
  <c r="AE306" i="1"/>
  <c r="AF306" i="1" s="1"/>
  <c r="P306" i="1"/>
  <c r="U306" i="1"/>
  <c r="P531" i="1"/>
  <c r="U531" i="1"/>
  <c r="V527" i="1"/>
  <c r="Q527" i="1" s="1"/>
  <c r="L527" i="1" s="1"/>
  <c r="V164" i="1"/>
  <c r="Q164" i="1" s="1"/>
  <c r="L164" i="1" s="1"/>
  <c r="P528" i="1"/>
  <c r="U528" i="1"/>
  <c r="P346" i="1"/>
  <c r="U346" i="1"/>
  <c r="P613" i="1"/>
  <c r="U613" i="1"/>
  <c r="P340" i="1"/>
  <c r="P339" i="1" s="1"/>
  <c r="U340" i="1"/>
  <c r="U339" i="1" s="1"/>
  <c r="V457" i="1"/>
  <c r="Q457" i="1" s="1"/>
  <c r="L457" i="1" s="1"/>
  <c r="P550" i="1"/>
  <c r="U550" i="1"/>
  <c r="AE418" i="1"/>
  <c r="AF418" i="1" s="1"/>
  <c r="P418" i="1"/>
  <c r="U418" i="1"/>
  <c r="P137" i="1"/>
  <c r="U137" i="1"/>
  <c r="AE411" i="1"/>
  <c r="AF411" i="1" s="1"/>
  <c r="P411" i="1"/>
  <c r="U411" i="1"/>
  <c r="AH647" i="1"/>
  <c r="AA647" i="1"/>
  <c r="V647" i="1" s="1"/>
  <c r="V149" i="1"/>
  <c r="Q149" i="1" s="1"/>
  <c r="L149" i="1" s="1"/>
  <c r="Q280" i="1"/>
  <c r="L280" i="1" s="1"/>
  <c r="V148" i="1"/>
  <c r="Q148" i="1" s="1"/>
  <c r="L148" i="1" s="1"/>
  <c r="V455" i="1"/>
  <c r="Q455" i="1" s="1"/>
  <c r="L455" i="1" s="1"/>
  <c r="V445" i="1"/>
  <c r="Q445" i="1" s="1"/>
  <c r="L445" i="1" s="1"/>
  <c r="AE420" i="1"/>
  <c r="AF420" i="1" s="1"/>
  <c r="P420" i="1"/>
  <c r="U420" i="1"/>
  <c r="P513" i="1"/>
  <c r="U513" i="1"/>
  <c r="P537" i="1"/>
  <c r="U537" i="1"/>
  <c r="AE597" i="1"/>
  <c r="AF597" i="1" s="1"/>
  <c r="P597" i="1"/>
  <c r="U597" i="1"/>
  <c r="P168" i="1"/>
  <c r="U168" i="1"/>
  <c r="V129" i="1"/>
  <c r="Q129" i="1" s="1"/>
  <c r="L129" i="1" s="1"/>
  <c r="V447" i="1"/>
  <c r="Q447" i="1" s="1"/>
  <c r="L447" i="1" s="1"/>
  <c r="V356" i="1"/>
  <c r="Q356" i="1" s="1"/>
  <c r="L356" i="1" s="1"/>
  <c r="AE408" i="1"/>
  <c r="AF408" i="1" s="1"/>
  <c r="AF403" i="1" s="1"/>
  <c r="AA403" i="1" s="1"/>
  <c r="P408" i="1"/>
  <c r="U408" i="1"/>
  <c r="P584" i="1"/>
  <c r="U584" i="1"/>
  <c r="P94" i="1"/>
  <c r="U94" i="1"/>
  <c r="P525" i="1"/>
  <c r="U525" i="1"/>
  <c r="AE264" i="1"/>
  <c r="AF264" i="1" s="1"/>
  <c r="P264" i="1"/>
  <c r="U264" i="1"/>
  <c r="AH474" i="1"/>
  <c r="AA474" i="1"/>
  <c r="V474" i="1" s="1"/>
  <c r="V89" i="1"/>
  <c r="Q89" i="1" s="1"/>
  <c r="L89" i="1" s="1"/>
  <c r="Q287" i="1"/>
  <c r="L287" i="1" s="1"/>
  <c r="V227" i="1"/>
  <c r="Q227" i="1" s="1"/>
  <c r="L227" i="1" s="1"/>
  <c r="AH383" i="1"/>
  <c r="AA383" i="1"/>
  <c r="P560" i="1"/>
  <c r="U560" i="1"/>
  <c r="AE422" i="1"/>
  <c r="AF422" i="1" s="1"/>
  <c r="P422" i="1"/>
  <c r="U422" i="1"/>
  <c r="V428" i="1"/>
  <c r="Q428" i="1" s="1"/>
  <c r="L428" i="1" s="1"/>
  <c r="V570" i="1"/>
  <c r="Q570" i="1" s="1"/>
  <c r="L570" i="1" s="1"/>
  <c r="V124" i="1"/>
  <c r="Q124" i="1" s="1"/>
  <c r="L124" i="1" s="1"/>
  <c r="V552" i="1"/>
  <c r="Q552" i="1" s="1"/>
  <c r="L552" i="1" s="1"/>
  <c r="Q256" i="1"/>
  <c r="L256" i="1" s="1"/>
  <c r="AH397" i="1"/>
  <c r="AA397" i="1"/>
  <c r="P587" i="1"/>
  <c r="U587" i="1"/>
  <c r="P99" i="1"/>
  <c r="U99" i="1"/>
  <c r="V87" i="1"/>
  <c r="Q87" i="1" s="1"/>
  <c r="L87" i="1" s="1"/>
  <c r="V360" i="1"/>
  <c r="Q360" i="1" s="1"/>
  <c r="L360" i="1" s="1"/>
  <c r="V207" i="1"/>
  <c r="Q207" i="1" s="1"/>
  <c r="L207" i="1" s="1"/>
  <c r="V610" i="1"/>
  <c r="Q610" i="1" s="1"/>
  <c r="L610" i="1" s="1"/>
  <c r="V122" i="1"/>
  <c r="Q122" i="1" s="1"/>
  <c r="L122" i="1" s="1"/>
  <c r="V98" i="1"/>
  <c r="Q98" i="1" s="1"/>
  <c r="L98" i="1" s="1"/>
  <c r="AH400" i="1"/>
  <c r="AA400" i="1"/>
  <c r="P572" i="1"/>
  <c r="U572" i="1"/>
  <c r="P436" i="1"/>
  <c r="U436" i="1"/>
  <c r="AE303" i="1"/>
  <c r="AF303" i="1" s="1"/>
  <c r="P303" i="1"/>
  <c r="U303" i="1"/>
  <c r="P601" i="1"/>
  <c r="U601" i="1"/>
  <c r="V127" i="1"/>
  <c r="Q127" i="1" s="1"/>
  <c r="L127" i="1" s="1"/>
  <c r="V96" i="1"/>
  <c r="Q96" i="1" s="1"/>
  <c r="L96" i="1" s="1"/>
  <c r="V179" i="1"/>
  <c r="Q179" i="1" s="1"/>
  <c r="L179" i="1" s="1"/>
  <c r="V147" i="1"/>
  <c r="Q147" i="1" s="1"/>
  <c r="L147" i="1" s="1"/>
  <c r="P581" i="1"/>
  <c r="U581" i="1"/>
  <c r="P472" i="1"/>
  <c r="U472" i="1"/>
  <c r="P553" i="1"/>
  <c r="U553" i="1"/>
  <c r="P566" i="1"/>
  <c r="U566" i="1"/>
  <c r="AE237" i="1"/>
  <c r="AF237" i="1" s="1"/>
  <c r="P237" i="1"/>
  <c r="U237" i="1"/>
  <c r="V91" i="1"/>
  <c r="Q91" i="1" s="1"/>
  <c r="L91" i="1" s="1"/>
  <c r="V144" i="1"/>
  <c r="Q144" i="1" s="1"/>
  <c r="L144" i="1" s="1"/>
  <c r="V353" i="1"/>
  <c r="Q353" i="1" s="1"/>
  <c r="L353" i="1" s="1"/>
  <c r="V197" i="1"/>
  <c r="Q197" i="1" s="1"/>
  <c r="L197" i="1" s="1"/>
  <c r="V211" i="1"/>
  <c r="Q211" i="1" s="1"/>
  <c r="L211" i="1" s="1"/>
  <c r="V153" i="1"/>
  <c r="Q153" i="1" s="1"/>
  <c r="L153" i="1" s="1"/>
  <c r="V459" i="1"/>
  <c r="Q459" i="1" s="1"/>
  <c r="L459" i="1" s="1"/>
  <c r="Q305" i="1"/>
  <c r="L305" i="1" s="1"/>
  <c r="V562" i="1"/>
  <c r="Q562" i="1" s="1"/>
  <c r="L562" i="1" s="1"/>
  <c r="AE424" i="1"/>
  <c r="AF424" i="1" s="1"/>
  <c r="AA424" i="1" s="1"/>
  <c r="AC424" i="1" s="1"/>
  <c r="P424" i="1"/>
  <c r="P423" i="1" s="1"/>
  <c r="U424" i="1"/>
  <c r="AE619" i="1"/>
  <c r="AF619" i="1" s="1"/>
  <c r="AH619" i="1" s="1"/>
  <c r="P619" i="1"/>
  <c r="U619" i="1"/>
  <c r="P469" i="1"/>
  <c r="U469" i="1"/>
  <c r="V93" i="1"/>
  <c r="Q93" i="1" s="1"/>
  <c r="L93" i="1" s="1"/>
  <c r="P192" i="1"/>
  <c r="U192" i="1"/>
  <c r="V559" i="1"/>
  <c r="Q559" i="1" s="1"/>
  <c r="L559" i="1" s="1"/>
  <c r="AH629" i="1"/>
  <c r="AA629" i="1"/>
  <c r="V629" i="1" s="1"/>
  <c r="V568" i="1"/>
  <c r="Q568" i="1" s="1"/>
  <c r="L568" i="1" s="1"/>
  <c r="P154" i="1"/>
  <c r="U154" i="1"/>
  <c r="V189" i="1"/>
  <c r="Q189" i="1" s="1"/>
  <c r="L189" i="1" s="1"/>
  <c r="V184" i="1"/>
  <c r="Q184" i="1" s="1"/>
  <c r="L184" i="1" s="1"/>
  <c r="V95" i="1"/>
  <c r="Q95" i="1" s="1"/>
  <c r="L95" i="1" s="1"/>
  <c r="P471" i="1"/>
  <c r="U471" i="1"/>
  <c r="AE286" i="1"/>
  <c r="AF286" i="1" s="1"/>
  <c r="P286" i="1"/>
  <c r="U286" i="1"/>
  <c r="AE244" i="1"/>
  <c r="AF244" i="1" s="1"/>
  <c r="P244" i="1"/>
  <c r="U244" i="1"/>
  <c r="P206" i="1"/>
  <c r="U206" i="1"/>
  <c r="V191" i="1"/>
  <c r="Q191" i="1" s="1"/>
  <c r="L191" i="1" s="1"/>
  <c r="V577" i="1"/>
  <c r="Q577" i="1" s="1"/>
  <c r="L577" i="1" s="1"/>
  <c r="V612" i="1"/>
  <c r="Q612" i="1" s="1"/>
  <c r="L612" i="1" s="1"/>
  <c r="Q261" i="1"/>
  <c r="L261" i="1" s="1"/>
  <c r="V114" i="1"/>
  <c r="Q114" i="1" s="1"/>
  <c r="L114" i="1" s="1"/>
  <c r="V567" i="1"/>
  <c r="Q567" i="1" s="1"/>
  <c r="L567" i="1" s="1"/>
  <c r="Q128" i="1"/>
  <c r="L128" i="1" s="1"/>
  <c r="Q242" i="1"/>
  <c r="L242" i="1" s="1"/>
  <c r="Q564" i="1"/>
  <c r="L564" i="1" s="1"/>
  <c r="Q265" i="1"/>
  <c r="L265" i="1" s="1"/>
  <c r="P199" i="1"/>
  <c r="U199" i="1"/>
  <c r="V177" i="1"/>
  <c r="Q177" i="1" s="1"/>
  <c r="L177" i="1" s="1"/>
  <c r="P519" i="1"/>
  <c r="U519" i="1"/>
  <c r="P477" i="1"/>
  <c r="U477" i="1"/>
  <c r="AE413" i="1"/>
  <c r="AF413" i="1" s="1"/>
  <c r="AA413" i="1" s="1"/>
  <c r="AC413" i="1" s="1"/>
  <c r="P413" i="1"/>
  <c r="U413" i="1"/>
  <c r="V352" i="1"/>
  <c r="Q352" i="1" s="1"/>
  <c r="L352" i="1" s="1"/>
  <c r="P465" i="1"/>
  <c r="U465" i="1"/>
  <c r="P337" i="1"/>
  <c r="P336" i="1" s="1"/>
  <c r="U337" i="1"/>
  <c r="U336" i="1" s="1"/>
  <c r="P218" i="1"/>
  <c r="U218" i="1"/>
  <c r="AE404" i="1"/>
  <c r="AF404" i="1" s="1"/>
  <c r="AA404" i="1" s="1"/>
  <c r="P404" i="1"/>
  <c r="U404" i="1"/>
  <c r="P426" i="1"/>
  <c r="U426" i="1"/>
  <c r="V448" i="1"/>
  <c r="Q448" i="1" s="1"/>
  <c r="L448" i="1" s="1"/>
  <c r="P478" i="1"/>
  <c r="U478" i="1"/>
  <c r="P86" i="1"/>
  <c r="U86" i="1"/>
  <c r="P475" i="1"/>
  <c r="U475" i="1"/>
  <c r="P438" i="1"/>
  <c r="U438" i="1"/>
  <c r="AE235" i="1"/>
  <c r="AF235" i="1" s="1"/>
  <c r="AA235" i="1" s="1"/>
  <c r="P235" i="1"/>
  <c r="U235" i="1"/>
  <c r="P109" i="1"/>
  <c r="U109" i="1"/>
  <c r="V116" i="1"/>
  <c r="Q116" i="1" s="1"/>
  <c r="L116" i="1" s="1"/>
  <c r="Q614" i="1"/>
  <c r="L614" i="1" s="1"/>
  <c r="V452" i="1"/>
  <c r="Q452" i="1" s="1"/>
  <c r="L452" i="1" s="1"/>
  <c r="V608" i="1"/>
  <c r="Q608" i="1" s="1"/>
  <c r="L608" i="1" s="1"/>
  <c r="V136" i="1"/>
  <c r="Q136" i="1" s="1"/>
  <c r="L136" i="1" s="1"/>
  <c r="Q407" i="1"/>
  <c r="L407" i="1" s="1"/>
  <c r="V565" i="1"/>
  <c r="Q565" i="1" s="1"/>
  <c r="L565" i="1" s="1"/>
  <c r="V221" i="1"/>
  <c r="Q221" i="1" s="1"/>
  <c r="L221" i="1" s="1"/>
  <c r="Q596" i="1"/>
  <c r="L596" i="1" s="1"/>
  <c r="Q252" i="1"/>
  <c r="L252" i="1" s="1"/>
  <c r="V113" i="1"/>
  <c r="Q113" i="1" s="1"/>
  <c r="L113" i="1" s="1"/>
  <c r="V139" i="1"/>
  <c r="Q139" i="1" s="1"/>
  <c r="L139" i="1" s="1"/>
  <c r="P557" i="1"/>
  <c r="U557" i="1"/>
  <c r="V449" i="1"/>
  <c r="Q449" i="1" s="1"/>
  <c r="L449" i="1" s="1"/>
  <c r="P230" i="1"/>
  <c r="U230" i="1"/>
  <c r="V518" i="1"/>
  <c r="Q518" i="1" s="1"/>
  <c r="L518" i="1" s="1"/>
  <c r="V228" i="1"/>
  <c r="Q228" i="1" s="1"/>
  <c r="L228" i="1" s="1"/>
  <c r="P442" i="1"/>
  <c r="U442" i="1"/>
  <c r="V222" i="1"/>
  <c r="Q222" i="1" s="1"/>
  <c r="L222" i="1" s="1"/>
  <c r="P578" i="1"/>
  <c r="U578" i="1"/>
  <c r="P367" i="1"/>
  <c r="U367" i="1"/>
  <c r="P611" i="1"/>
  <c r="U611" i="1"/>
  <c r="V429" i="1"/>
  <c r="Q429" i="1" s="1"/>
  <c r="L429" i="1" s="1"/>
  <c r="P446" i="1"/>
  <c r="U446" i="1"/>
  <c r="P145" i="1"/>
  <c r="U145" i="1"/>
  <c r="V146" i="1"/>
  <c r="Q146" i="1" s="1"/>
  <c r="L146" i="1" s="1"/>
  <c r="P460" i="1"/>
  <c r="U460" i="1"/>
  <c r="P522" i="1"/>
  <c r="U522" i="1"/>
  <c r="P473" i="1"/>
  <c r="U473" i="1"/>
  <c r="P174" i="1"/>
  <c r="U174" i="1"/>
  <c r="P212" i="1"/>
  <c r="U212" i="1"/>
  <c r="AE309" i="1"/>
  <c r="AF309" i="1" s="1"/>
  <c r="P309" i="1"/>
  <c r="U309" i="1"/>
  <c r="Q223" i="1"/>
  <c r="L223" i="1" s="1"/>
  <c r="V229" i="1"/>
  <c r="Q229" i="1" s="1"/>
  <c r="L229" i="1" s="1"/>
  <c r="V517" i="1"/>
  <c r="Q517" i="1" s="1"/>
  <c r="L517" i="1" s="1"/>
  <c r="P458" i="1"/>
  <c r="U458" i="1"/>
  <c r="V163" i="1"/>
  <c r="Q163" i="1" s="1"/>
  <c r="L163" i="1" s="1"/>
  <c r="V225" i="1"/>
  <c r="Q225" i="1" s="1"/>
  <c r="L225" i="1" s="1"/>
  <c r="AH640" i="1"/>
  <c r="AA640" i="1"/>
  <c r="V640" i="1" s="1"/>
  <c r="V195" i="1"/>
  <c r="Q195" i="1" s="1"/>
  <c r="L195" i="1" s="1"/>
  <c r="P354" i="1"/>
  <c r="U354" i="1"/>
  <c r="V558" i="1"/>
  <c r="Q558" i="1" s="1"/>
  <c r="L558" i="1" s="1"/>
  <c r="V190" i="1"/>
  <c r="Q190" i="1" s="1"/>
  <c r="L190" i="1" s="1"/>
  <c r="P118" i="1"/>
  <c r="U118" i="1"/>
  <c r="AE617" i="1"/>
  <c r="AF617" i="1" s="1"/>
  <c r="P617" i="1"/>
  <c r="U617" i="1"/>
  <c r="P104" i="1"/>
  <c r="U104" i="1"/>
  <c r="V210" i="1"/>
  <c r="Q210" i="1" s="1"/>
  <c r="L210" i="1" s="1"/>
  <c r="P97" i="1"/>
  <c r="U97" i="1"/>
  <c r="V150" i="1"/>
  <c r="Q150" i="1" s="1"/>
  <c r="L150" i="1" s="1"/>
  <c r="P430" i="1"/>
  <c r="U430" i="1"/>
  <c r="AE591" i="1"/>
  <c r="AF591" i="1" s="1"/>
  <c r="AA591" i="1" s="1"/>
  <c r="P591" i="1"/>
  <c r="U591" i="1"/>
  <c r="V165" i="1"/>
  <c r="Q165" i="1" s="1"/>
  <c r="L165" i="1" s="1"/>
  <c r="AE416" i="1"/>
  <c r="AF416" i="1" s="1"/>
  <c r="P416" i="1"/>
  <c r="U416" i="1"/>
  <c r="P450" i="1"/>
  <c r="U450" i="1"/>
  <c r="P470" i="1"/>
  <c r="U470" i="1"/>
  <c r="V363" i="1"/>
  <c r="Q363" i="1" s="1"/>
  <c r="L363" i="1" s="1"/>
  <c r="Q257" i="1"/>
  <c r="L257" i="1" s="1"/>
  <c r="Q205" i="1"/>
  <c r="L205" i="1" s="1"/>
  <c r="AE275" i="1"/>
  <c r="AF275" i="1" s="1"/>
  <c r="P275" i="1"/>
  <c r="U275" i="1"/>
  <c r="P125" i="1"/>
  <c r="U125" i="1"/>
  <c r="V123" i="1"/>
  <c r="Q123" i="1" s="1"/>
  <c r="L123" i="1" s="1"/>
  <c r="P510" i="1"/>
  <c r="U510" i="1"/>
  <c r="P101" i="1"/>
  <c r="U101" i="1"/>
  <c r="V226" i="1"/>
  <c r="Q226" i="1" s="1"/>
  <c r="L226" i="1" s="1"/>
  <c r="V193" i="1"/>
  <c r="Q193" i="1" s="1"/>
  <c r="L193" i="1" s="1"/>
  <c r="P357" i="1"/>
  <c r="U357" i="1"/>
  <c r="P454" i="1"/>
  <c r="U454" i="1"/>
  <c r="Q178" i="1"/>
  <c r="L178" i="1" s="1"/>
  <c r="AE615" i="1"/>
  <c r="AF615" i="1" s="1"/>
  <c r="P615" i="1"/>
  <c r="U615" i="1"/>
  <c r="V100" i="1"/>
  <c r="Q100" i="1" s="1"/>
  <c r="L100" i="1" s="1"/>
  <c r="V92" i="1"/>
  <c r="Q92" i="1" s="1"/>
  <c r="L92" i="1" s="1"/>
  <c r="V349" i="1"/>
  <c r="Q349" i="1" s="1"/>
  <c r="L349" i="1" s="1"/>
  <c r="V364" i="1"/>
  <c r="Q364" i="1" s="1"/>
  <c r="L364" i="1" s="1"/>
  <c r="P111" i="1"/>
  <c r="U111" i="1"/>
  <c r="P369" i="1"/>
  <c r="U369" i="1"/>
  <c r="V117" i="1"/>
  <c r="Q117" i="1" s="1"/>
  <c r="L117" i="1" s="1"/>
  <c r="P131" i="1"/>
  <c r="U131" i="1"/>
  <c r="P476" i="1"/>
  <c r="U476" i="1"/>
  <c r="P90" i="1"/>
  <c r="U90" i="1"/>
  <c r="P140" i="1"/>
  <c r="U140" i="1"/>
  <c r="P516" i="1"/>
  <c r="U516" i="1"/>
  <c r="Q130" i="1"/>
  <c r="L130" i="1" s="1"/>
  <c r="P607" i="1"/>
  <c r="U607" i="1"/>
  <c r="V451" i="1"/>
  <c r="Q451" i="1" s="1"/>
  <c r="L451" i="1" s="1"/>
  <c r="V576" i="1"/>
  <c r="Q576" i="1" s="1"/>
  <c r="L576" i="1" s="1"/>
  <c r="V103" i="1"/>
  <c r="Q103" i="1" s="1"/>
  <c r="L103" i="1" s="1"/>
  <c r="V529" i="1"/>
  <c r="Q529" i="1" s="1"/>
  <c r="L529" i="1" s="1"/>
  <c r="AE297" i="1"/>
  <c r="AF297" i="1" s="1"/>
  <c r="P297" i="1"/>
  <c r="U297" i="1"/>
  <c r="P569" i="1"/>
  <c r="U569" i="1"/>
  <c r="P350" i="1"/>
  <c r="U350" i="1"/>
  <c r="P186" i="1"/>
  <c r="U186" i="1"/>
  <c r="P88" i="1"/>
  <c r="U88" i="1"/>
  <c r="V461" i="1"/>
  <c r="Q461" i="1" s="1"/>
  <c r="L461" i="1" s="1"/>
  <c r="P544" i="1"/>
  <c r="U544" i="1"/>
  <c r="AE421" i="1"/>
  <c r="AF421" i="1" s="1"/>
  <c r="P421" i="1"/>
  <c r="U421" i="1"/>
  <c r="V444" i="1"/>
  <c r="Q444" i="1" s="1"/>
  <c r="L444" i="1" s="1"/>
  <c r="V198" i="1"/>
  <c r="Q198" i="1" s="1"/>
  <c r="L198" i="1" s="1"/>
  <c r="P563" i="1"/>
  <c r="U563" i="1"/>
  <c r="P180" i="1"/>
  <c r="U180" i="1"/>
  <c r="P162" i="1"/>
  <c r="U162" i="1"/>
  <c r="P462" i="1"/>
  <c r="U462" i="1"/>
  <c r="V609" i="1"/>
  <c r="Q609" i="1" s="1"/>
  <c r="L609" i="1" s="1"/>
  <c r="V441" i="1"/>
  <c r="Q441" i="1" s="1"/>
  <c r="L441" i="1" s="1"/>
  <c r="V196" i="1"/>
  <c r="Q196" i="1" s="1"/>
  <c r="L196" i="1" s="1"/>
  <c r="P468" i="1"/>
  <c r="U468" i="1"/>
  <c r="V366" i="1"/>
  <c r="Q366" i="1" s="1"/>
  <c r="L366" i="1" s="1"/>
  <c r="V176" i="1"/>
  <c r="Q176" i="1" s="1"/>
  <c r="L176" i="1" s="1"/>
  <c r="V526" i="1"/>
  <c r="Q526" i="1" s="1"/>
  <c r="L526" i="1" s="1"/>
  <c r="P466" i="1"/>
  <c r="U466" i="1"/>
  <c r="AE625" i="1"/>
  <c r="AF625" i="1" s="1"/>
  <c r="P625" i="1"/>
  <c r="U625" i="1"/>
  <c r="V216" i="1"/>
  <c r="Q216" i="1" s="1"/>
  <c r="L216" i="1" s="1"/>
  <c r="V368" i="1"/>
  <c r="Q368" i="1" s="1"/>
  <c r="L368" i="1" s="1"/>
  <c r="P152" i="1"/>
  <c r="U152" i="1"/>
  <c r="P467" i="1"/>
  <c r="U467" i="1"/>
  <c r="V585" i="1"/>
  <c r="Q585" i="1" s="1"/>
  <c r="L585" i="1" s="1"/>
  <c r="P479" i="1"/>
  <c r="U479" i="1"/>
  <c r="P434" i="1"/>
  <c r="U434" i="1"/>
  <c r="P143" i="1"/>
  <c r="U143" i="1"/>
  <c r="AE300" i="1"/>
  <c r="AF300" i="1" s="1"/>
  <c r="P300" i="1"/>
  <c r="U300" i="1"/>
  <c r="P480" i="1"/>
  <c r="U480" i="1"/>
  <c r="AE594" i="1"/>
  <c r="AF594" i="1" s="1"/>
  <c r="P594" i="1"/>
  <c r="U594" i="1"/>
  <c r="P365" i="1"/>
  <c r="U365" i="1"/>
  <c r="P440" i="1"/>
  <c r="U440" i="1"/>
  <c r="P348" i="1"/>
  <c r="U348" i="1"/>
  <c r="P547" i="1"/>
  <c r="U547" i="1"/>
  <c r="AE240" i="1"/>
  <c r="AF240" i="1" s="1"/>
  <c r="P240" i="1"/>
  <c r="U240" i="1"/>
  <c r="V579" i="1"/>
  <c r="Q579" i="1" s="1"/>
  <c r="L579" i="1" s="1"/>
  <c r="V453" i="1"/>
  <c r="Q453" i="1" s="1"/>
  <c r="L453" i="1" s="1"/>
  <c r="V213" i="1"/>
  <c r="Q213" i="1" s="1"/>
  <c r="L213" i="1" s="1"/>
  <c r="Q255" i="1"/>
  <c r="L255" i="1" s="1"/>
  <c r="V173" i="1"/>
  <c r="Q173" i="1" s="1"/>
  <c r="L173" i="1" s="1"/>
  <c r="V439" i="1"/>
  <c r="Q439" i="1" s="1"/>
  <c r="L439" i="1" s="1"/>
  <c r="V183" i="1"/>
  <c r="Q183" i="1" s="1"/>
  <c r="L183" i="1" s="1"/>
  <c r="V546" i="1"/>
  <c r="Q546" i="1" s="1"/>
  <c r="L546" i="1" s="1"/>
  <c r="V512" i="1"/>
  <c r="Q512" i="1" s="1"/>
  <c r="L512" i="1" s="1"/>
  <c r="V520" i="1"/>
  <c r="Q520" i="1" s="1"/>
  <c r="L520" i="1" s="1"/>
  <c r="V511" i="1"/>
  <c r="Q511" i="1" s="1"/>
  <c r="L511" i="1" s="1"/>
  <c r="V523" i="1"/>
  <c r="Q523" i="1" s="1"/>
  <c r="L523" i="1" s="1"/>
  <c r="V524" i="1"/>
  <c r="Q524" i="1" s="1"/>
  <c r="L524" i="1" s="1"/>
  <c r="V521" i="1"/>
  <c r="Q521" i="1" s="1"/>
  <c r="L521" i="1" s="1"/>
  <c r="V533" i="1"/>
  <c r="Q533" i="1" s="1"/>
  <c r="L533" i="1" s="1"/>
  <c r="V515" i="1"/>
  <c r="Q515" i="1" s="1"/>
  <c r="L515" i="1" s="1"/>
  <c r="V514" i="1"/>
  <c r="Q514" i="1" s="1"/>
  <c r="L514" i="1" s="1"/>
  <c r="V623" i="1"/>
  <c r="V620" i="1"/>
  <c r="V621" i="1"/>
  <c r="Z619" i="1"/>
  <c r="V622" i="1"/>
  <c r="V624" i="1"/>
  <c r="AE557" i="1"/>
  <c r="AF557" i="1" s="1"/>
  <c r="Z557" i="1"/>
  <c r="AE7" i="1"/>
  <c r="AF7" i="1" s="1"/>
  <c r="AH7" i="1" s="1"/>
  <c r="Z7" i="1"/>
  <c r="AE587" i="1"/>
  <c r="AF587" i="1" s="1"/>
  <c r="Z587" i="1"/>
  <c r="AE212" i="1"/>
  <c r="AF212" i="1" s="1"/>
  <c r="Z212" i="1"/>
  <c r="AE9" i="1"/>
  <c r="AF9" i="1" s="1"/>
  <c r="Z9" i="1"/>
  <c r="AE86" i="1"/>
  <c r="AF86" i="1" s="1"/>
  <c r="Z86" i="1"/>
  <c r="AE97" i="1"/>
  <c r="AF97" i="1" s="1"/>
  <c r="Z97" i="1"/>
  <c r="AE578" i="1"/>
  <c r="AF578" i="1" s="1"/>
  <c r="Z578" i="1"/>
  <c r="AE199" i="1"/>
  <c r="AF199" i="1" s="1"/>
  <c r="Z199" i="1"/>
  <c r="AE131" i="1"/>
  <c r="AF131" i="1" s="1"/>
  <c r="Z131" i="1"/>
  <c r="AE611" i="1"/>
  <c r="AF611" i="1" s="1"/>
  <c r="Z611" i="1"/>
  <c r="AE319" i="1"/>
  <c r="AF319" i="1" s="1"/>
  <c r="Z319" i="1"/>
  <c r="AE641" i="1"/>
  <c r="AF641" i="1" s="1"/>
  <c r="Z641" i="1"/>
  <c r="AE473" i="1"/>
  <c r="AF473" i="1" s="1"/>
  <c r="Z473" i="1"/>
  <c r="AE94" i="1"/>
  <c r="AF94" i="1" s="1"/>
  <c r="Z94" i="1"/>
  <c r="AE125" i="1"/>
  <c r="AF125" i="1" s="1"/>
  <c r="Z125" i="1"/>
  <c r="AE357" i="1"/>
  <c r="AF357" i="1" s="1"/>
  <c r="Z357" i="1"/>
  <c r="AE17" i="1"/>
  <c r="AF17" i="1" s="1"/>
  <c r="Z17" i="1"/>
  <c r="AE145" i="1"/>
  <c r="AF145" i="1" s="1"/>
  <c r="Z145" i="1"/>
  <c r="AE475" i="1"/>
  <c r="AF475" i="1" s="1"/>
  <c r="Z475" i="1"/>
  <c r="AE476" i="1"/>
  <c r="AF476" i="1" s="1"/>
  <c r="Z476" i="1"/>
  <c r="AE630" i="1"/>
  <c r="AF630" i="1" s="1"/>
  <c r="Z630" i="1"/>
  <c r="AE45" i="1"/>
  <c r="AF45" i="1" s="1"/>
  <c r="Z45" i="1"/>
  <c r="AE174" i="1"/>
  <c r="AF174" i="1" s="1"/>
  <c r="Z174" i="1"/>
  <c r="AE53" i="1"/>
  <c r="AF53" i="1" s="1"/>
  <c r="Z53" i="1"/>
  <c r="AE118" i="1"/>
  <c r="AF118" i="1" s="1"/>
  <c r="Z118" i="1"/>
  <c r="AE584" i="1"/>
  <c r="AF584" i="1" s="1"/>
  <c r="Z584" i="1"/>
  <c r="AE613" i="1"/>
  <c r="AF613" i="1" s="1"/>
  <c r="Z613" i="1"/>
  <c r="AE230" i="1"/>
  <c r="AF230" i="1" s="1"/>
  <c r="Z230" i="1"/>
  <c r="AE572" i="1"/>
  <c r="AF572" i="1" s="1"/>
  <c r="Z572" i="1"/>
  <c r="AE143" i="1"/>
  <c r="AF143" i="1" s="1"/>
  <c r="Z143" i="1"/>
  <c r="AE563" i="1"/>
  <c r="AF563" i="1" s="1"/>
  <c r="Z563" i="1"/>
  <c r="AE480" i="1"/>
  <c r="AF480" i="1" s="1"/>
  <c r="Z480" i="1"/>
  <c r="AE642" i="1"/>
  <c r="AF642" i="1" s="1"/>
  <c r="Z642" i="1"/>
  <c r="AE472" i="1"/>
  <c r="AF472" i="1" s="1"/>
  <c r="Z472" i="1"/>
  <c r="AE639" i="1"/>
  <c r="Z639" i="1"/>
  <c r="AE636" i="1"/>
  <c r="AF636" i="1" s="1"/>
  <c r="Z636" i="1"/>
  <c r="AE560" i="1"/>
  <c r="AF560" i="1" s="1"/>
  <c r="Z560" i="1"/>
  <c r="AE581" i="1"/>
  <c r="AF581" i="1" s="1"/>
  <c r="Z581" i="1"/>
  <c r="AE25" i="1"/>
  <c r="AF25" i="1" s="1"/>
  <c r="Z25" i="1"/>
  <c r="AE162" i="1"/>
  <c r="AF162" i="1" s="1"/>
  <c r="Z162" i="1"/>
  <c r="AE180" i="1"/>
  <c r="AF180" i="1" s="1"/>
  <c r="Z180" i="1"/>
  <c r="AE101" i="1"/>
  <c r="AF101" i="1" s="1"/>
  <c r="Z101" i="1"/>
  <c r="AE454" i="1"/>
  <c r="AF454" i="1" s="1"/>
  <c r="Z454" i="1"/>
  <c r="AE458" i="1"/>
  <c r="AF458" i="1" s="1"/>
  <c r="Z458" i="1"/>
  <c r="AE525" i="1"/>
  <c r="AF525" i="1" s="1"/>
  <c r="Z525" i="1"/>
  <c r="AE646" i="1"/>
  <c r="AF646" i="1" s="1"/>
  <c r="Z646" i="1"/>
  <c r="AE649" i="1"/>
  <c r="AF649" i="1" s="1"/>
  <c r="Z649" i="1"/>
  <c r="AE192" i="1"/>
  <c r="AF192" i="1" s="1"/>
  <c r="Z192" i="1"/>
  <c r="AE140" i="1"/>
  <c r="AF140" i="1" s="1"/>
  <c r="Z140" i="1"/>
  <c r="AE644" i="1"/>
  <c r="Z644" i="1"/>
  <c r="AE468" i="1"/>
  <c r="AF468" i="1" s="1"/>
  <c r="Z468" i="1"/>
  <c r="AE465" i="1"/>
  <c r="AF465" i="1" s="1"/>
  <c r="Z465" i="1"/>
  <c r="AE224" i="1"/>
  <c r="AF224" i="1" s="1"/>
  <c r="Z224" i="1"/>
  <c r="AE99" i="1"/>
  <c r="AF99" i="1" s="1"/>
  <c r="Z99" i="1"/>
  <c r="AE350" i="1"/>
  <c r="AF350" i="1" s="1"/>
  <c r="Z350" i="1"/>
  <c r="AE470" i="1"/>
  <c r="AF470" i="1" s="1"/>
  <c r="Z470" i="1"/>
  <c r="AE90" i="1"/>
  <c r="AF90" i="1" s="1"/>
  <c r="Z90" i="1"/>
  <c r="AE369" i="1"/>
  <c r="AF369" i="1" s="1"/>
  <c r="Z369" i="1"/>
  <c r="AE488" i="1"/>
  <c r="AF488" i="1" s="1"/>
  <c r="Z488" i="1"/>
  <c r="AE469" i="1"/>
  <c r="AF469" i="1" s="1"/>
  <c r="Z469" i="1"/>
  <c r="AE348" i="1"/>
  <c r="AF348" i="1" s="1"/>
  <c r="Z348" i="1"/>
  <c r="AE438" i="1"/>
  <c r="AF438" i="1" s="1"/>
  <c r="Z438" i="1"/>
  <c r="AE33" i="1"/>
  <c r="AF33" i="1" s="1"/>
  <c r="Z33" i="1"/>
  <c r="AE137" i="1"/>
  <c r="AF137" i="1" s="1"/>
  <c r="Z137" i="1"/>
  <c r="AE450" i="1"/>
  <c r="AF450" i="1" s="1"/>
  <c r="Z450" i="1"/>
  <c r="AE326" i="1"/>
  <c r="AF326" i="1" s="1"/>
  <c r="Z326" i="1"/>
  <c r="AE467" i="1"/>
  <c r="AF467" i="1" s="1"/>
  <c r="Z467" i="1"/>
  <c r="AE65" i="1"/>
  <c r="AF65" i="1" s="1"/>
  <c r="Z65" i="1"/>
  <c r="AE519" i="1"/>
  <c r="AF519" i="1" s="1"/>
  <c r="Z519" i="1"/>
  <c r="AE152" i="1"/>
  <c r="AF152" i="1" s="1"/>
  <c r="Z152" i="1"/>
  <c r="AE21" i="1"/>
  <c r="AF21" i="1" s="1"/>
  <c r="Z21" i="1"/>
  <c r="AE537" i="1"/>
  <c r="AF537" i="1" s="1"/>
  <c r="Z537" i="1"/>
  <c r="AE186" i="1"/>
  <c r="AF186" i="1" s="1"/>
  <c r="Z186" i="1"/>
  <c r="AE478" i="1"/>
  <c r="AF478" i="1" s="1"/>
  <c r="Z478" i="1"/>
  <c r="AE168" i="1"/>
  <c r="AF168" i="1" s="1"/>
  <c r="Z168" i="1"/>
  <c r="AE516" i="1"/>
  <c r="AF516" i="1" s="1"/>
  <c r="Z516" i="1"/>
  <c r="Z653" i="1"/>
  <c r="AE510" i="1"/>
  <c r="AF510" i="1" s="1"/>
  <c r="Z510" i="1"/>
  <c r="AF654" i="1"/>
  <c r="AA654" i="1" s="1"/>
  <c r="V654" i="1" s="1"/>
  <c r="AE653" i="1"/>
  <c r="AE531" i="1"/>
  <c r="AF531" i="1" s="1"/>
  <c r="Z531" i="1"/>
  <c r="AE69" i="1"/>
  <c r="AF69" i="1" s="1"/>
  <c r="Z69" i="1"/>
  <c r="AE634" i="1"/>
  <c r="AF634" i="1" s="1"/>
  <c r="Z634" i="1"/>
  <c r="AE13" i="1"/>
  <c r="AF13" i="1" s="1"/>
  <c r="Z13" i="1"/>
  <c r="AE154" i="1"/>
  <c r="AF154" i="1" s="1"/>
  <c r="Z154" i="1"/>
  <c r="AE316" i="1"/>
  <c r="AF316" i="1" s="1"/>
  <c r="Z316" i="1"/>
  <c r="AE109" i="1"/>
  <c r="AF109" i="1" s="1"/>
  <c r="Z109" i="1"/>
  <c r="AE528" i="1"/>
  <c r="AF528" i="1" s="1"/>
  <c r="Z528" i="1"/>
  <c r="AE553" i="1"/>
  <c r="AF553" i="1" s="1"/>
  <c r="Z553" i="1"/>
  <c r="Z3" i="1"/>
  <c r="AF4" i="1"/>
  <c r="AE569" i="1"/>
  <c r="AF569" i="1" s="1"/>
  <c r="Z569" i="1"/>
  <c r="AE337" i="1"/>
  <c r="AF337" i="1" s="1"/>
  <c r="Z337" i="1"/>
  <c r="AE477" i="1"/>
  <c r="AF477" i="1" s="1"/>
  <c r="Z477" i="1"/>
  <c r="AE566" i="1"/>
  <c r="AF566" i="1" s="1"/>
  <c r="Z566" i="1"/>
  <c r="AE49" i="1"/>
  <c r="AF49" i="1" s="1"/>
  <c r="Z49" i="1"/>
  <c r="AE88" i="1"/>
  <c r="AF88" i="1" s="1"/>
  <c r="Z88" i="1"/>
  <c r="AE462" i="1"/>
  <c r="AF462" i="1" s="1"/>
  <c r="Z462" i="1"/>
  <c r="AE434" i="1"/>
  <c r="AF434" i="1" s="1"/>
  <c r="Z434" i="1"/>
  <c r="AE607" i="1"/>
  <c r="AF607" i="1" s="1"/>
  <c r="Z607" i="1"/>
  <c r="AE426" i="1"/>
  <c r="AF426" i="1" s="1"/>
  <c r="Z426" i="1"/>
  <c r="AE430" i="1"/>
  <c r="AF430" i="1" s="1"/>
  <c r="Z430" i="1"/>
  <c r="AE361" i="1"/>
  <c r="AF361" i="1" s="1"/>
  <c r="Z361" i="1"/>
  <c r="AE645" i="1"/>
  <c r="AF645" i="1" s="1"/>
  <c r="Z645" i="1"/>
  <c r="AE547" i="1"/>
  <c r="AF547" i="1" s="1"/>
  <c r="Z547" i="1"/>
  <c r="AE446" i="1"/>
  <c r="AF446" i="1" s="1"/>
  <c r="Z446" i="1"/>
  <c r="AE460" i="1"/>
  <c r="AF460" i="1" s="1"/>
  <c r="Z460" i="1"/>
  <c r="AE637" i="1"/>
  <c r="AF637" i="1" s="1"/>
  <c r="Z637" i="1"/>
  <c r="AE367" i="1"/>
  <c r="AF367" i="1" s="1"/>
  <c r="Z367" i="1"/>
  <c r="AE365" i="1"/>
  <c r="AF365" i="1" s="1"/>
  <c r="Z365" i="1"/>
  <c r="AE466" i="1"/>
  <c r="AF466" i="1" s="1"/>
  <c r="Z466" i="1"/>
  <c r="AE61" i="1"/>
  <c r="AF61" i="1" s="1"/>
  <c r="Z61" i="1"/>
  <c r="AE218" i="1"/>
  <c r="AF218" i="1" s="1"/>
  <c r="Z218" i="1"/>
  <c r="AE471" i="1"/>
  <c r="AF471" i="1" s="1"/>
  <c r="Z471" i="1"/>
  <c r="AE479" i="1"/>
  <c r="AF479" i="1" s="1"/>
  <c r="Z479" i="1"/>
  <c r="AE436" i="1"/>
  <c r="AF436" i="1" s="1"/>
  <c r="Z436" i="1"/>
  <c r="AE354" i="1"/>
  <c r="AF354" i="1" s="1"/>
  <c r="Z354" i="1"/>
  <c r="AE333" i="1"/>
  <c r="AF333" i="1" s="1"/>
  <c r="Z333" i="1"/>
  <c r="AE104" i="1"/>
  <c r="AF104" i="1" s="1"/>
  <c r="Z104" i="1"/>
  <c r="AE485" i="1"/>
  <c r="AF485" i="1" s="1"/>
  <c r="Z485" i="1"/>
  <c r="AE111" i="1"/>
  <c r="AF111" i="1" s="1"/>
  <c r="Z111" i="1"/>
  <c r="AE442" i="1"/>
  <c r="AF442" i="1" s="1"/>
  <c r="Z442" i="1"/>
  <c r="AE628" i="1"/>
  <c r="AF628" i="1" s="1"/>
  <c r="Z628" i="1"/>
  <c r="AE601" i="1"/>
  <c r="AE81" i="1"/>
  <c r="AF81" i="1" s="1"/>
  <c r="Z81" i="1"/>
  <c r="AE346" i="1"/>
  <c r="AF346" i="1" s="1"/>
  <c r="Z346" i="1"/>
  <c r="AE482" i="1"/>
  <c r="AF482" i="1" s="1"/>
  <c r="Z482" i="1"/>
  <c r="AE340" i="1"/>
  <c r="Z340" i="1"/>
  <c r="AE550" i="1"/>
  <c r="AF550" i="1" s="1"/>
  <c r="Z550" i="1"/>
  <c r="AE440" i="1"/>
  <c r="AF440" i="1" s="1"/>
  <c r="Z440" i="1"/>
  <c r="AE522" i="1"/>
  <c r="AF522" i="1" s="1"/>
  <c r="Z522" i="1"/>
  <c r="AE544" i="1"/>
  <c r="AF544" i="1" s="1"/>
  <c r="Z544" i="1"/>
  <c r="AE206" i="1"/>
  <c r="AF206" i="1" s="1"/>
  <c r="Z206" i="1"/>
  <c r="AE77" i="1"/>
  <c r="AF77" i="1" s="1"/>
  <c r="Z77" i="1"/>
  <c r="AE41" i="1"/>
  <c r="AF41" i="1" s="1"/>
  <c r="Z41" i="1"/>
  <c r="AE513" i="1"/>
  <c r="AF513" i="1" s="1"/>
  <c r="Z513" i="1"/>
  <c r="AE391" i="1"/>
  <c r="AF392" i="1"/>
  <c r="AA392" i="1" s="1"/>
  <c r="AH413" i="1"/>
  <c r="AH404" i="1"/>
  <c r="AF343" i="1"/>
  <c r="AA343" i="1" s="1"/>
  <c r="AE377" i="1" l="1"/>
  <c r="U419" i="1"/>
  <c r="V378" i="1"/>
  <c r="AC378" i="1"/>
  <c r="AA388" i="1"/>
  <c r="AA495" i="1"/>
  <c r="V495" i="1" s="1"/>
  <c r="K635" i="1"/>
  <c r="K643" i="1"/>
  <c r="U590" i="1"/>
  <c r="P590" i="1"/>
  <c r="K391" i="1"/>
  <c r="K376" i="1" s="1"/>
  <c r="E14" i="2" s="1"/>
  <c r="AF377" i="1"/>
  <c r="AA377" i="1" s="1"/>
  <c r="V377" i="1" s="1"/>
  <c r="Q377" i="1" s="1"/>
  <c r="L377" i="1" s="1"/>
  <c r="AA402" i="1"/>
  <c r="AH401" i="1"/>
  <c r="K6" i="1"/>
  <c r="E10" i="2" s="1"/>
  <c r="K638" i="1"/>
  <c r="AC629" i="1"/>
  <c r="AH378" i="1"/>
  <c r="K508" i="1"/>
  <c r="E20" i="2" s="1"/>
  <c r="P315" i="1"/>
  <c r="AE423" i="1"/>
  <c r="K315" i="1"/>
  <c r="K107" i="1" s="1"/>
  <c r="E12" i="2" s="1"/>
  <c r="AC640" i="1"/>
  <c r="P489" i="1"/>
  <c r="V490" i="1"/>
  <c r="AC490" i="1"/>
  <c r="P600" i="1"/>
  <c r="U85" i="1"/>
  <c r="AA505" i="1"/>
  <c r="AH505" i="1"/>
  <c r="AF504" i="1"/>
  <c r="AA504" i="1" s="1"/>
  <c r="V504" i="1" s="1"/>
  <c r="Q504" i="1" s="1"/>
  <c r="L504" i="1" s="1"/>
  <c r="AF489" i="1"/>
  <c r="AA489" i="1" s="1"/>
  <c r="V489" i="1" s="1"/>
  <c r="AH490" i="1"/>
  <c r="AH235" i="1"/>
  <c r="AA507" i="1"/>
  <c r="AF506" i="1"/>
  <c r="AA506" i="1" s="1"/>
  <c r="V506" i="1" s="1"/>
  <c r="Q506" i="1" s="1"/>
  <c r="L506" i="1" s="1"/>
  <c r="AH507" i="1"/>
  <c r="AA499" i="1"/>
  <c r="V499" i="1" s="1"/>
  <c r="P419" i="1"/>
  <c r="AF234" i="1"/>
  <c r="AA234" i="1" s="1"/>
  <c r="AE489" i="1"/>
  <c r="P85" i="1"/>
  <c r="AF419" i="1"/>
  <c r="AA419" i="1" s="1"/>
  <c r="V419" i="1" s="1"/>
  <c r="Q419" i="1" s="1"/>
  <c r="L419" i="1" s="1"/>
  <c r="AA420" i="1"/>
  <c r="AH467" i="1"/>
  <c r="AA467" i="1"/>
  <c r="V467" i="1" s="1"/>
  <c r="AH475" i="1"/>
  <c r="AA475" i="1"/>
  <c r="V475" i="1" s="1"/>
  <c r="AH206" i="1"/>
  <c r="AA206" i="1"/>
  <c r="V206" i="1" s="1"/>
  <c r="V383" i="1"/>
  <c r="AC383" i="1"/>
  <c r="AH607" i="1"/>
  <c r="AA607" i="1"/>
  <c r="V607" i="1" s="1"/>
  <c r="AH140" i="1"/>
  <c r="AA140" i="1"/>
  <c r="V140" i="1" s="1"/>
  <c r="AH522" i="1"/>
  <c r="AA522" i="1"/>
  <c r="V522" i="1" s="1"/>
  <c r="AH416" i="1"/>
  <c r="AA416" i="1"/>
  <c r="AC416" i="1" s="1"/>
  <c r="AH440" i="1"/>
  <c r="AA440" i="1"/>
  <c r="AC440" i="1" s="1"/>
  <c r="AF412" i="1"/>
  <c r="AA412" i="1" s="1"/>
  <c r="AH218" i="1"/>
  <c r="AA218" i="1"/>
  <c r="AC218" i="1" s="1"/>
  <c r="AH88" i="1"/>
  <c r="AA88" i="1"/>
  <c r="AC88" i="1" s="1"/>
  <c r="Q654" i="1"/>
  <c r="X654" i="1"/>
  <c r="AF648" i="1"/>
  <c r="AA648" i="1" s="1"/>
  <c r="V648" i="1" s="1"/>
  <c r="Q648" i="1" s="1"/>
  <c r="L648" i="1" s="1"/>
  <c r="AA649" i="1"/>
  <c r="V649" i="1" s="1"/>
  <c r="AH563" i="1"/>
  <c r="AA563" i="1"/>
  <c r="V563" i="1" s="1"/>
  <c r="AH125" i="1"/>
  <c r="AA125" i="1"/>
  <c r="AC125" i="1" s="1"/>
  <c r="X624" i="1"/>
  <c r="Q624" i="1"/>
  <c r="AH615" i="1"/>
  <c r="AA615" i="1"/>
  <c r="AH309" i="1"/>
  <c r="AA309" i="1"/>
  <c r="U425" i="1"/>
  <c r="AH550" i="1"/>
  <c r="AA550" i="1"/>
  <c r="V550" i="1" s="1"/>
  <c r="AH438" i="1"/>
  <c r="AA438" i="1"/>
  <c r="AC438" i="1" s="1"/>
  <c r="AC646" i="1"/>
  <c r="AC143" i="1"/>
  <c r="X622" i="1"/>
  <c r="Q622" i="1"/>
  <c r="V591" i="1"/>
  <c r="AC591" i="1"/>
  <c r="P425" i="1"/>
  <c r="V400" i="1"/>
  <c r="AC400" i="1"/>
  <c r="Q647" i="1"/>
  <c r="X647" i="1"/>
  <c r="AH306" i="1"/>
  <c r="AA306" i="1"/>
  <c r="AF423" i="1"/>
  <c r="AH61" i="1"/>
  <c r="AA61" i="1"/>
  <c r="AH49" i="1"/>
  <c r="AA49" i="1"/>
  <c r="AA510" i="1"/>
  <c r="V510" i="1" s="1"/>
  <c r="AC348" i="1"/>
  <c r="AH646" i="1"/>
  <c r="AA646" i="1"/>
  <c r="V646" i="1" s="1"/>
  <c r="AH143" i="1"/>
  <c r="AA143" i="1"/>
  <c r="AH94" i="1"/>
  <c r="AA94" i="1"/>
  <c r="AA619" i="1"/>
  <c r="U556" i="1"/>
  <c r="U403" i="1"/>
  <c r="AH264" i="1"/>
  <c r="AA264" i="1"/>
  <c r="AC264" i="1" s="1"/>
  <c r="AH424" i="1"/>
  <c r="AH348" i="1"/>
  <c r="AA348" i="1"/>
  <c r="V348" i="1" s="1"/>
  <c r="X621" i="1"/>
  <c r="Q621" i="1"/>
  <c r="V454" i="1"/>
  <c r="P556" i="1"/>
  <c r="P403" i="1"/>
  <c r="V392" i="1"/>
  <c r="AC392" i="1"/>
  <c r="AH466" i="1"/>
  <c r="AA466" i="1"/>
  <c r="AC466" i="1" s="1"/>
  <c r="AH566" i="1"/>
  <c r="AA566" i="1"/>
  <c r="V566" i="1" s="1"/>
  <c r="AH525" i="1"/>
  <c r="AA525" i="1"/>
  <c r="V525" i="1" s="1"/>
  <c r="AH572" i="1"/>
  <c r="AA572" i="1"/>
  <c r="AC572" i="1" s="1"/>
  <c r="AH473" i="1"/>
  <c r="AA473" i="1"/>
  <c r="V473" i="1" s="1"/>
  <c r="X620" i="1"/>
  <c r="Q620" i="1"/>
  <c r="AH594" i="1"/>
  <c r="AA594" i="1"/>
  <c r="AC594" i="1" s="1"/>
  <c r="Q483" i="1"/>
  <c r="X483" i="1"/>
  <c r="V404" i="1"/>
  <c r="AC404" i="1"/>
  <c r="AE403" i="1"/>
  <c r="AF481" i="1"/>
  <c r="AA482" i="1"/>
  <c r="V482" i="1" s="1"/>
  <c r="AH516" i="1"/>
  <c r="AA516" i="1"/>
  <c r="V516" i="1" s="1"/>
  <c r="AH469" i="1"/>
  <c r="AA469" i="1"/>
  <c r="AC469" i="1" s="1"/>
  <c r="X623" i="1"/>
  <c r="Q623" i="1"/>
  <c r="AC483" i="1"/>
  <c r="AH411" i="1"/>
  <c r="AA411" i="1"/>
  <c r="AH365" i="1"/>
  <c r="AA365" i="1"/>
  <c r="V365" i="1" s="1"/>
  <c r="AH477" i="1"/>
  <c r="AA477" i="1"/>
  <c r="V477" i="1" s="1"/>
  <c r="AC488" i="1"/>
  <c r="AH458" i="1"/>
  <c r="AA458" i="1"/>
  <c r="V458" i="1" s="1"/>
  <c r="AH230" i="1"/>
  <c r="AA230" i="1"/>
  <c r="V230" i="1" s="1"/>
  <c r="AH641" i="1"/>
  <c r="AA641" i="1"/>
  <c r="V641" i="1" s="1"/>
  <c r="AH244" i="1"/>
  <c r="AA244" i="1"/>
  <c r="AC244" i="1" s="1"/>
  <c r="AH326" i="1"/>
  <c r="AA326" i="1"/>
  <c r="V326" i="1" s="1"/>
  <c r="AE234" i="1"/>
  <c r="V424" i="1"/>
  <c r="U423" i="1"/>
  <c r="AH462" i="1"/>
  <c r="AA462" i="1"/>
  <c r="V462" i="1" s="1"/>
  <c r="AH297" i="1"/>
  <c r="AA297" i="1"/>
  <c r="AC297" i="1" s="1"/>
  <c r="AH319" i="1"/>
  <c r="AA319" i="1"/>
  <c r="V319" i="1" s="1"/>
  <c r="AH101" i="1"/>
  <c r="AA101" i="1"/>
  <c r="AC101" i="1" s="1"/>
  <c r="V471" i="1"/>
  <c r="AH180" i="1"/>
  <c r="AA180" i="1"/>
  <c r="V180" i="1" s="1"/>
  <c r="AH199" i="1"/>
  <c r="AA199" i="1"/>
  <c r="AC199" i="1" s="1"/>
  <c r="AC474" i="1"/>
  <c r="AE419" i="1"/>
  <c r="AH111" i="1"/>
  <c r="AA111" i="1"/>
  <c r="V111" i="1" s="1"/>
  <c r="AH547" i="1"/>
  <c r="AA547" i="1"/>
  <c r="V547" i="1" s="1"/>
  <c r="AH528" i="1"/>
  <c r="AA528" i="1"/>
  <c r="AC528" i="1" s="1"/>
  <c r="AH25" i="1"/>
  <c r="AA25" i="1"/>
  <c r="AH174" i="1"/>
  <c r="AA174" i="1"/>
  <c r="V174" i="1" s="1"/>
  <c r="AH578" i="1"/>
  <c r="AA578" i="1"/>
  <c r="V578" i="1" s="1"/>
  <c r="U108" i="1"/>
  <c r="AC647" i="1"/>
  <c r="AH13" i="1"/>
  <c r="AA13" i="1"/>
  <c r="AH479" i="1"/>
  <c r="AA479" i="1"/>
  <c r="V479" i="1" s="1"/>
  <c r="AF336" i="1"/>
  <c r="AA337" i="1"/>
  <c r="V337" i="1" s="1"/>
  <c r="AH90" i="1"/>
  <c r="AA90" i="1"/>
  <c r="AC90" i="1" s="1"/>
  <c r="AH192" i="1"/>
  <c r="AA192" i="1"/>
  <c r="V192" i="1" s="1"/>
  <c r="AH81" i="1"/>
  <c r="AA81" i="1"/>
  <c r="AH286" i="1"/>
  <c r="AA286" i="1"/>
  <c r="AH637" i="1"/>
  <c r="AA637" i="1"/>
  <c r="V637" i="1" s="1"/>
  <c r="P464" i="1"/>
  <c r="AH186" i="1"/>
  <c r="AA186" i="1"/>
  <c r="AC186" i="1" s="1"/>
  <c r="AH237" i="1"/>
  <c r="AA237" i="1"/>
  <c r="AC237" i="1" s="1"/>
  <c r="AE590" i="1"/>
  <c r="AH162" i="1"/>
  <c r="AA162" i="1"/>
  <c r="V162" i="1" s="1"/>
  <c r="AH350" i="1"/>
  <c r="AA350" i="1"/>
  <c r="V350" i="1" s="1"/>
  <c r="AC581" i="1"/>
  <c r="AH109" i="1"/>
  <c r="AA109" i="1"/>
  <c r="V109" i="1" s="1"/>
  <c r="AH581" i="1"/>
  <c r="AA581" i="1"/>
  <c r="V581" i="1" s="1"/>
  <c r="AH45" i="1"/>
  <c r="AA45" i="1"/>
  <c r="AH97" i="1"/>
  <c r="AA97" i="1"/>
  <c r="AH275" i="1"/>
  <c r="AA275" i="1"/>
  <c r="V388" i="1"/>
  <c r="AC388" i="1"/>
  <c r="Q629" i="1"/>
  <c r="X629" i="1"/>
  <c r="V513" i="1"/>
  <c r="AH426" i="1"/>
  <c r="AA426" i="1"/>
  <c r="V426" i="1" s="1"/>
  <c r="AH212" i="1"/>
  <c r="AA212" i="1"/>
  <c r="AC212" i="1" s="1"/>
  <c r="AH240" i="1"/>
  <c r="AA240" i="1"/>
  <c r="AH472" i="1"/>
  <c r="AA472" i="1"/>
  <c r="AC472" i="1" s="1"/>
  <c r="AH450" i="1"/>
  <c r="AA450" i="1"/>
  <c r="V450" i="1" s="1"/>
  <c r="AH69" i="1"/>
  <c r="AA69" i="1"/>
  <c r="AH471" i="1"/>
  <c r="AA471" i="1"/>
  <c r="AC471" i="1" s="1"/>
  <c r="AH357" i="1"/>
  <c r="AA357" i="1"/>
  <c r="V357" i="1" s="1"/>
  <c r="AH584" i="1"/>
  <c r="AA584" i="1"/>
  <c r="AC584" i="1" s="1"/>
  <c r="AH300" i="1"/>
  <c r="AA300" i="1"/>
  <c r="AC300" i="1" s="1"/>
  <c r="AF590" i="1"/>
  <c r="AA590" i="1" s="1"/>
  <c r="AH408" i="1"/>
  <c r="AA408" i="1"/>
  <c r="AH628" i="1"/>
  <c r="AA628" i="1"/>
  <c r="V628" i="1" s="1"/>
  <c r="P509" i="1"/>
  <c r="V402" i="1"/>
  <c r="AC402" i="1"/>
  <c r="V186" i="1"/>
  <c r="AC326" i="1"/>
  <c r="AH625" i="1"/>
  <c r="AA625" i="1"/>
  <c r="AH642" i="1"/>
  <c r="AA642" i="1"/>
  <c r="V642" i="1" s="1"/>
  <c r="Q474" i="1"/>
  <c r="X474" i="1"/>
  <c r="AH488" i="1"/>
  <c r="AA488" i="1"/>
  <c r="V488" i="1" s="1"/>
  <c r="AH77" i="1"/>
  <c r="AA77" i="1"/>
  <c r="U600" i="1"/>
  <c r="V343" i="1"/>
  <c r="AC343" i="1"/>
  <c r="AH634" i="1"/>
  <c r="AA634" i="1"/>
  <c r="V634" i="1" s="1"/>
  <c r="AH587" i="1"/>
  <c r="AA587" i="1"/>
  <c r="AC587" i="1" s="1"/>
  <c r="AH544" i="1"/>
  <c r="AA544" i="1"/>
  <c r="V544" i="1" s="1"/>
  <c r="AH434" i="1"/>
  <c r="AA434" i="1"/>
  <c r="V434" i="1" s="1"/>
  <c r="AH17" i="1"/>
  <c r="AA17" i="1"/>
  <c r="AH137" i="1"/>
  <c r="AA137" i="1"/>
  <c r="V137" i="1" s="1"/>
  <c r="AH557" i="1"/>
  <c r="AA557" i="1"/>
  <c r="V557" i="1" s="1"/>
  <c r="AH33" i="1"/>
  <c r="AA33" i="1"/>
  <c r="U161" i="1"/>
  <c r="AH613" i="1"/>
  <c r="AA613" i="1"/>
  <c r="V613" i="1" s="1"/>
  <c r="P161" i="1"/>
  <c r="AH369" i="1"/>
  <c r="AA369" i="1"/>
  <c r="AC369" i="1" s="1"/>
  <c r="U464" i="1"/>
  <c r="AH611" i="1"/>
  <c r="AA611" i="1"/>
  <c r="V611" i="1" s="1"/>
  <c r="AH294" i="1"/>
  <c r="AA294" i="1"/>
  <c r="AC294" i="1" s="1"/>
  <c r="V143" i="1"/>
  <c r="AH591" i="1"/>
  <c r="AH460" i="1"/>
  <c r="AA460" i="1"/>
  <c r="V460" i="1" s="1"/>
  <c r="AC537" i="1"/>
  <c r="AH131" i="1"/>
  <c r="AA131" i="1"/>
  <c r="V131" i="1" s="1"/>
  <c r="V413" i="1"/>
  <c r="U412" i="1"/>
  <c r="V412" i="1" s="1"/>
  <c r="AH470" i="1"/>
  <c r="AA470" i="1"/>
  <c r="AC470" i="1" s="1"/>
  <c r="V397" i="1"/>
  <c r="AC397" i="1"/>
  <c r="AH446" i="1"/>
  <c r="AA446" i="1"/>
  <c r="V446" i="1" s="1"/>
  <c r="AH152" i="1"/>
  <c r="AA152" i="1"/>
  <c r="V152" i="1" s="1"/>
  <c r="AH485" i="1"/>
  <c r="AA485" i="1"/>
  <c r="V485" i="1" s="1"/>
  <c r="AH513" i="1"/>
  <c r="AA513" i="1"/>
  <c r="AC513" i="1" s="1"/>
  <c r="AH519" i="1"/>
  <c r="AA519" i="1"/>
  <c r="V519" i="1" s="1"/>
  <c r="AH417" i="1"/>
  <c r="AA417" i="1"/>
  <c r="AC417" i="1" s="1"/>
  <c r="AH104" i="1"/>
  <c r="AA104" i="1"/>
  <c r="AH361" i="1"/>
  <c r="AA361" i="1"/>
  <c r="V361" i="1" s="1"/>
  <c r="AH630" i="1"/>
  <c r="AA630" i="1"/>
  <c r="V630" i="1" s="1"/>
  <c r="U234" i="1"/>
  <c r="V234" i="1" s="1"/>
  <c r="Q234" i="1" s="1"/>
  <c r="L234" i="1" s="1"/>
  <c r="AH41" i="1"/>
  <c r="AA41" i="1"/>
  <c r="AH65" i="1"/>
  <c r="AA65" i="1"/>
  <c r="AH465" i="1"/>
  <c r="AA465" i="1"/>
  <c r="AC465" i="1" s="1"/>
  <c r="Q640" i="1"/>
  <c r="X640" i="1"/>
  <c r="P234" i="1"/>
  <c r="U345" i="1"/>
  <c r="AH468" i="1"/>
  <c r="AA468" i="1"/>
  <c r="V468" i="1" s="1"/>
  <c r="V528" i="1"/>
  <c r="AH354" i="1"/>
  <c r="AA354" i="1"/>
  <c r="V354" i="1" s="1"/>
  <c r="V401" i="1"/>
  <c r="AC401" i="1"/>
  <c r="AH436" i="1"/>
  <c r="AA436" i="1"/>
  <c r="V436" i="1" s="1"/>
  <c r="AH145" i="1"/>
  <c r="AA145" i="1"/>
  <c r="V145" i="1" s="1"/>
  <c r="AA7" i="1"/>
  <c r="AH303" i="1"/>
  <c r="AA303" i="1"/>
  <c r="AH531" i="1"/>
  <c r="AA531" i="1"/>
  <c r="V531" i="1" s="1"/>
  <c r="AH480" i="1"/>
  <c r="AA480" i="1"/>
  <c r="V480" i="1" s="1"/>
  <c r="AH346" i="1"/>
  <c r="AA346" i="1"/>
  <c r="V346" i="1" s="1"/>
  <c r="AH168" i="1"/>
  <c r="AA168" i="1"/>
  <c r="AC168" i="1" s="1"/>
  <c r="AC613" i="1"/>
  <c r="AH367" i="1"/>
  <c r="AA367" i="1"/>
  <c r="AC367" i="1" s="1"/>
  <c r="AH454" i="1"/>
  <c r="AA454" i="1"/>
  <c r="AC454" i="1" s="1"/>
  <c r="AH478" i="1"/>
  <c r="AA478" i="1"/>
  <c r="V478" i="1" s="1"/>
  <c r="AH569" i="1"/>
  <c r="AA569" i="1"/>
  <c r="V569" i="1" s="1"/>
  <c r="AH418" i="1"/>
  <c r="AA418" i="1"/>
  <c r="AC418" i="1" s="1"/>
  <c r="AH4" i="1"/>
  <c r="AA4" i="1"/>
  <c r="V4" i="1" s="1"/>
  <c r="U509" i="1"/>
  <c r="AH118" i="1"/>
  <c r="AA118" i="1"/>
  <c r="V118" i="1" s="1"/>
  <c r="AH537" i="1"/>
  <c r="AA537" i="1"/>
  <c r="V537" i="1" s="1"/>
  <c r="AH617" i="1"/>
  <c r="AA617" i="1"/>
  <c r="P412" i="1"/>
  <c r="AH290" i="1"/>
  <c r="AA290" i="1"/>
  <c r="AH442" i="1"/>
  <c r="AA442" i="1"/>
  <c r="V442" i="1" s="1"/>
  <c r="AH553" i="1"/>
  <c r="AA553" i="1"/>
  <c r="V553" i="1" s="1"/>
  <c r="AH53" i="1"/>
  <c r="AA53" i="1"/>
  <c r="AE412" i="1"/>
  <c r="AH21" i="1"/>
  <c r="AA21" i="1"/>
  <c r="AH99" i="1"/>
  <c r="AA99" i="1"/>
  <c r="AH421" i="1"/>
  <c r="AA421" i="1"/>
  <c r="P108" i="1"/>
  <c r="V417" i="1"/>
  <c r="AH645" i="1"/>
  <c r="AA645" i="1"/>
  <c r="V645" i="1" s="1"/>
  <c r="AH224" i="1"/>
  <c r="AA224" i="1"/>
  <c r="V224" i="1" s="1"/>
  <c r="AH316" i="1"/>
  <c r="AA316" i="1"/>
  <c r="V316" i="1" s="1"/>
  <c r="AH560" i="1"/>
  <c r="AA560" i="1"/>
  <c r="V560" i="1" s="1"/>
  <c r="AA86" i="1"/>
  <c r="AH597" i="1"/>
  <c r="AA597" i="1"/>
  <c r="AH333" i="1"/>
  <c r="AA333" i="1"/>
  <c r="V333" i="1" s="1"/>
  <c r="AH430" i="1"/>
  <c r="AA430" i="1"/>
  <c r="V430" i="1" s="1"/>
  <c r="AH154" i="1"/>
  <c r="AA154" i="1"/>
  <c r="V154" i="1" s="1"/>
  <c r="AH636" i="1"/>
  <c r="AA636" i="1"/>
  <c r="V636" i="1" s="1"/>
  <c r="AH476" i="1"/>
  <c r="AA476" i="1"/>
  <c r="V476" i="1" s="1"/>
  <c r="AH9" i="1"/>
  <c r="AA9" i="1"/>
  <c r="V235" i="1"/>
  <c r="AC235" i="1"/>
  <c r="AC495" i="1"/>
  <c r="AH422" i="1"/>
  <c r="AA422" i="1"/>
  <c r="P345" i="1"/>
  <c r="AH253" i="1"/>
  <c r="AA253" i="1"/>
  <c r="AC253" i="1" s="1"/>
  <c r="AE600" i="1"/>
  <c r="AD601" i="1"/>
  <c r="AF3" i="1"/>
  <c r="AE635" i="1"/>
  <c r="AE627" i="1"/>
  <c r="AE6" i="1"/>
  <c r="AF601" i="1"/>
  <c r="Z336" i="1"/>
  <c r="AF108" i="1"/>
  <c r="Z108" i="1"/>
  <c r="AF345" i="1"/>
  <c r="AE509" i="1"/>
  <c r="AF425" i="1"/>
  <c r="AH482" i="1"/>
  <c r="AF464" i="1"/>
  <c r="AE643" i="1"/>
  <c r="Z345" i="1"/>
  <c r="AE425" i="1"/>
  <c r="AE315" i="1"/>
  <c r="AH337" i="1"/>
  <c r="AE108" i="1"/>
  <c r="AF556" i="1"/>
  <c r="Z425" i="1"/>
  <c r="Z85" i="1"/>
  <c r="AE85" i="1"/>
  <c r="Z635" i="1"/>
  <c r="AF627" i="1"/>
  <c r="Z643" i="1"/>
  <c r="AF635" i="1"/>
  <c r="AA635" i="1" s="1"/>
  <c r="V635" i="1" s="1"/>
  <c r="Q635" i="1" s="1"/>
  <c r="Z6" i="1"/>
  <c r="G10" i="2" s="1"/>
  <c r="I10" i="2" s="1"/>
  <c r="AH649" i="1"/>
  <c r="AC654" i="1"/>
  <c r="AE161" i="1"/>
  <c r="Z627" i="1"/>
  <c r="G22" i="2" s="1"/>
  <c r="H22" i="2" s="1"/>
  <c r="AE481" i="1"/>
  <c r="AE464" i="1"/>
  <c r="AE648" i="1"/>
  <c r="G26" i="2" s="1"/>
  <c r="Z315" i="1"/>
  <c r="AE556" i="1"/>
  <c r="Z638" i="1"/>
  <c r="AF644" i="1"/>
  <c r="Z556" i="1"/>
  <c r="AE339" i="1"/>
  <c r="AF340" i="1"/>
  <c r="AA340" i="1" s="1"/>
  <c r="V340" i="1" s="1"/>
  <c r="Z481" i="1"/>
  <c r="AE336" i="1"/>
  <c r="Z161" i="1"/>
  <c r="Z464" i="1"/>
  <c r="AE345" i="1"/>
  <c r="AF639" i="1"/>
  <c r="AA639" i="1" s="1"/>
  <c r="V639" i="1" s="1"/>
  <c r="AE638" i="1"/>
  <c r="AH654" i="1"/>
  <c r="AF653" i="1"/>
  <c r="AA653" i="1" s="1"/>
  <c r="V653" i="1" s="1"/>
  <c r="Q653" i="1" s="1"/>
  <c r="L653" i="1" s="1"/>
  <c r="AF6" i="1"/>
  <c r="Z339" i="1"/>
  <c r="Z509" i="1"/>
  <c r="Z648" i="1"/>
  <c r="AH510" i="1"/>
  <c r="AF509" i="1"/>
  <c r="AH420" i="1"/>
  <c r="AH392" i="1"/>
  <c r="AF391" i="1"/>
  <c r="AF315" i="1"/>
  <c r="AF161" i="1"/>
  <c r="AH343" i="1"/>
  <c r="AF342" i="1"/>
  <c r="AA342" i="1" s="1"/>
  <c r="V342" i="1" s="1"/>
  <c r="Q342" i="1" s="1"/>
  <c r="L342" i="1" s="1"/>
  <c r="AH86" i="1"/>
  <c r="AF85" i="1"/>
  <c r="G27" i="2"/>
  <c r="G19" i="2"/>
  <c r="G18" i="2"/>
  <c r="AA509" i="1" l="1"/>
  <c r="V509" i="1" s="1"/>
  <c r="Q509" i="1" s="1"/>
  <c r="L509" i="1" s="1"/>
  <c r="V590" i="1"/>
  <c r="Q590" i="1" s="1"/>
  <c r="L590" i="1" s="1"/>
  <c r="V253" i="1"/>
  <c r="Q489" i="1"/>
  <c r="L489" i="1" s="1"/>
  <c r="AA85" i="1"/>
  <c r="V85" i="1" s="1"/>
  <c r="Q85" i="1" s="1"/>
  <c r="L85" i="1" s="1"/>
  <c r="AC467" i="1"/>
  <c r="E17" i="2"/>
  <c r="G17" i="2" s="1"/>
  <c r="V88" i="1"/>
  <c r="Q88" i="1" s="1"/>
  <c r="AC642" i="1"/>
  <c r="AC611" i="1"/>
  <c r="L635" i="1"/>
  <c r="E23" i="2"/>
  <c r="G23" i="2" s="1"/>
  <c r="V244" i="1"/>
  <c r="AC522" i="1"/>
  <c r="AC468" i="1"/>
  <c r="AE376" i="1"/>
  <c r="E25" i="2"/>
  <c r="G25" i="2" s="1"/>
  <c r="V218" i="1"/>
  <c r="X218" i="1" s="1"/>
  <c r="Q378" i="1"/>
  <c r="X378" i="1"/>
  <c r="E24" i="2"/>
  <c r="G24" i="2" s="1"/>
  <c r="V367" i="1"/>
  <c r="Q367" i="1" s="1"/>
  <c r="AC357" i="1"/>
  <c r="AC578" i="1"/>
  <c r="AC446" i="1"/>
  <c r="V584" i="1"/>
  <c r="AC531" i="1"/>
  <c r="S623" i="1"/>
  <c r="L623" i="1"/>
  <c r="N623" i="1" s="1"/>
  <c r="V572" i="1"/>
  <c r="Q572" i="1" s="1"/>
  <c r="AC434" i="1"/>
  <c r="S621" i="1"/>
  <c r="L621" i="1"/>
  <c r="N621" i="1" s="1"/>
  <c r="V507" i="1"/>
  <c r="AC507" i="1"/>
  <c r="AC634" i="1"/>
  <c r="S622" i="1"/>
  <c r="L622" i="1"/>
  <c r="N622" i="1" s="1"/>
  <c r="AC563" i="1"/>
  <c r="AC192" i="1"/>
  <c r="AC475" i="1"/>
  <c r="V587" i="1"/>
  <c r="Q587" i="1" s="1"/>
  <c r="AC553" i="1"/>
  <c r="V168" i="1"/>
  <c r="Q168" i="1" s="1"/>
  <c r="AC519" i="1"/>
  <c r="S629" i="1"/>
  <c r="L629" i="1"/>
  <c r="N629" i="1" s="1"/>
  <c r="S654" i="1"/>
  <c r="L654" i="1"/>
  <c r="N654" i="1" s="1"/>
  <c r="AC560" i="1"/>
  <c r="AC499" i="1"/>
  <c r="AC566" i="1"/>
  <c r="AC111" i="1"/>
  <c r="AA6" i="1"/>
  <c r="AA556" i="1"/>
  <c r="V556" i="1" s="1"/>
  <c r="Q556" i="1" s="1"/>
  <c r="L556" i="1" s="1"/>
  <c r="V470" i="1"/>
  <c r="X470" i="1" s="1"/>
  <c r="V466" i="1"/>
  <c r="Q466" i="1" s="1"/>
  <c r="V369" i="1"/>
  <c r="X369" i="1" s="1"/>
  <c r="V294" i="1"/>
  <c r="AC140" i="1"/>
  <c r="Q490" i="1"/>
  <c r="X490" i="1"/>
  <c r="V300" i="1"/>
  <c r="Q300" i="1" s="1"/>
  <c r="AC544" i="1"/>
  <c r="V469" i="1"/>
  <c r="X469" i="1" s="1"/>
  <c r="P376" i="1"/>
  <c r="AC137" i="1"/>
  <c r="V505" i="1"/>
  <c r="AC505" i="1"/>
  <c r="AC637" i="1"/>
  <c r="G15" i="2"/>
  <c r="I15" i="2" s="1"/>
  <c r="AC485" i="1"/>
  <c r="S483" i="1"/>
  <c r="L483" i="1"/>
  <c r="N483" i="1" s="1"/>
  <c r="G16" i="2"/>
  <c r="H16" i="2" s="1"/>
  <c r="AC436" i="1"/>
  <c r="S620" i="1"/>
  <c r="L620" i="1"/>
  <c r="N620" i="1" s="1"/>
  <c r="S640" i="1"/>
  <c r="L640" i="1"/>
  <c r="N640" i="1" s="1"/>
  <c r="V199" i="1"/>
  <c r="Q199" i="1" s="1"/>
  <c r="AC442" i="1"/>
  <c r="S647" i="1"/>
  <c r="L647" i="1"/>
  <c r="N647" i="1" s="1"/>
  <c r="AA336" i="1"/>
  <c r="V336" i="1" s="1"/>
  <c r="Q336" i="1" s="1"/>
  <c r="L336" i="1" s="1"/>
  <c r="V465" i="1"/>
  <c r="Q465" i="1" s="1"/>
  <c r="AC480" i="1"/>
  <c r="S474" i="1"/>
  <c r="L474" i="1"/>
  <c r="N474" i="1" s="1"/>
  <c r="V125" i="1"/>
  <c r="Q125" i="1" s="1"/>
  <c r="S624" i="1"/>
  <c r="L624" i="1"/>
  <c r="N624" i="1" s="1"/>
  <c r="P508" i="1"/>
  <c r="G13" i="2"/>
  <c r="H13" i="2" s="1"/>
  <c r="P107" i="1"/>
  <c r="Q412" i="1"/>
  <c r="L412" i="1" s="1"/>
  <c r="Q109" i="1"/>
  <c r="X109" i="1"/>
  <c r="Q578" i="1"/>
  <c r="X578" i="1"/>
  <c r="Q458" i="1"/>
  <c r="X458" i="1"/>
  <c r="Q560" i="1"/>
  <c r="X560" i="1"/>
  <c r="Q152" i="1"/>
  <c r="X152" i="1"/>
  <c r="Q607" i="1"/>
  <c r="X607" i="1"/>
  <c r="Q180" i="1"/>
  <c r="X180" i="1"/>
  <c r="Q436" i="1"/>
  <c r="X436" i="1"/>
  <c r="Q140" i="1"/>
  <c r="X140" i="1"/>
  <c r="Q547" i="1"/>
  <c r="X547" i="1"/>
  <c r="Q137" i="1"/>
  <c r="X137" i="1"/>
  <c r="Q154" i="1"/>
  <c r="X154" i="1"/>
  <c r="Q434" i="1"/>
  <c r="X434" i="1"/>
  <c r="Q531" i="1"/>
  <c r="X531" i="1"/>
  <c r="AC4" i="1"/>
  <c r="Q145" i="1"/>
  <c r="X145" i="1"/>
  <c r="AC479" i="1"/>
  <c r="Q361" i="1"/>
  <c r="X361" i="1"/>
  <c r="Q162" i="1"/>
  <c r="X162" i="1"/>
  <c r="V440" i="1"/>
  <c r="V13" i="1"/>
  <c r="AC13" i="1"/>
  <c r="V594" i="1"/>
  <c r="Q569" i="1"/>
  <c r="X569" i="1"/>
  <c r="V264" i="1"/>
  <c r="V99" i="1"/>
  <c r="AC99" i="1"/>
  <c r="AC131" i="1"/>
  <c r="Q544" i="1"/>
  <c r="X544" i="1"/>
  <c r="Q365" i="1"/>
  <c r="X365" i="1"/>
  <c r="V309" i="1"/>
  <c r="AC309" i="1"/>
  <c r="Q340" i="1"/>
  <c r="X340" i="1"/>
  <c r="AA464" i="1"/>
  <c r="V464" i="1" s="1"/>
  <c r="Q464" i="1" s="1"/>
  <c r="L464" i="1" s="1"/>
  <c r="Q354" i="1"/>
  <c r="X354" i="1"/>
  <c r="AC180" i="1"/>
  <c r="V472" i="1"/>
  <c r="V237" i="1"/>
  <c r="Q522" i="1"/>
  <c r="X522" i="1"/>
  <c r="Q636" i="1"/>
  <c r="X636" i="1"/>
  <c r="V21" i="1"/>
  <c r="AC21" i="1"/>
  <c r="Q294" i="1"/>
  <c r="X294" i="1"/>
  <c r="Q519" i="1"/>
  <c r="X519" i="1"/>
  <c r="AC460" i="1"/>
  <c r="Q628" i="1"/>
  <c r="X628" i="1"/>
  <c r="Q111" i="1"/>
  <c r="X111" i="1"/>
  <c r="U107" i="1"/>
  <c r="Q319" i="1"/>
  <c r="X319" i="1"/>
  <c r="V411" i="1"/>
  <c r="AC411" i="1"/>
  <c r="Q525" i="1"/>
  <c r="X525" i="1"/>
  <c r="Q646" i="1"/>
  <c r="X646" i="1"/>
  <c r="V615" i="1"/>
  <c r="AC615" i="1"/>
  <c r="AA425" i="1"/>
  <c r="V425" i="1" s="1"/>
  <c r="Q425" i="1" s="1"/>
  <c r="L425" i="1" s="1"/>
  <c r="Q528" i="1"/>
  <c r="X528" i="1"/>
  <c r="AF643" i="1"/>
  <c r="AA643" i="1" s="1"/>
  <c r="V643" i="1" s="1"/>
  <c r="Q643" i="1" s="1"/>
  <c r="L643" i="1" s="1"/>
  <c r="AA644" i="1"/>
  <c r="V644" i="1" s="1"/>
  <c r="AC174" i="1"/>
  <c r="AC547" i="1"/>
  <c r="AC361" i="1"/>
  <c r="Q634" i="1"/>
  <c r="X634" i="1"/>
  <c r="V408" i="1"/>
  <c r="AC408" i="1"/>
  <c r="Q637" i="1"/>
  <c r="X637" i="1"/>
  <c r="Q218" i="1"/>
  <c r="Q468" i="1"/>
  <c r="X468" i="1"/>
  <c r="Q611" i="1"/>
  <c r="X611" i="1"/>
  <c r="Q357" i="1"/>
  <c r="X357" i="1"/>
  <c r="AC516" i="1"/>
  <c r="Q510" i="1"/>
  <c r="X510" i="1"/>
  <c r="Q118" i="1"/>
  <c r="X118" i="1"/>
  <c r="Q350" i="1"/>
  <c r="X350" i="1"/>
  <c r="Q450" i="1"/>
  <c r="X450" i="1"/>
  <c r="U376" i="1"/>
  <c r="Q235" i="1"/>
  <c r="X235" i="1"/>
  <c r="Q460" i="1"/>
  <c r="X460" i="1"/>
  <c r="V421" i="1"/>
  <c r="AC421" i="1"/>
  <c r="V104" i="1"/>
  <c r="AC104" i="1"/>
  <c r="AC162" i="1"/>
  <c r="Q471" i="1"/>
  <c r="X471" i="1"/>
  <c r="Q473" i="1"/>
  <c r="X473" i="1"/>
  <c r="Q143" i="1"/>
  <c r="X143" i="1"/>
  <c r="Q476" i="1"/>
  <c r="X476" i="1"/>
  <c r="AA345" i="1"/>
  <c r="V345" i="1" s="1"/>
  <c r="Q345" i="1" s="1"/>
  <c r="L345" i="1" s="1"/>
  <c r="V286" i="1"/>
  <c r="AC286" i="1"/>
  <c r="AA108" i="1"/>
  <c r="V108" i="1" s="1"/>
  <c r="Q108" i="1" s="1"/>
  <c r="L108" i="1" s="1"/>
  <c r="Q430" i="1"/>
  <c r="X430" i="1"/>
  <c r="Q537" i="1"/>
  <c r="X537" i="1"/>
  <c r="Q485" i="1"/>
  <c r="X485" i="1"/>
  <c r="AC607" i="1"/>
  <c r="V81" i="1"/>
  <c r="AC81" i="1"/>
  <c r="V25" i="1"/>
  <c r="AC25" i="1"/>
  <c r="Q462" i="1"/>
  <c r="X462" i="1"/>
  <c r="V61" i="1"/>
  <c r="AC61" i="1"/>
  <c r="AC350" i="1"/>
  <c r="AC641" i="1"/>
  <c r="Q563" i="1"/>
  <c r="X563" i="1"/>
  <c r="AA161" i="1"/>
  <c r="V161" i="1" s="1"/>
  <c r="Q161" i="1" s="1"/>
  <c r="L161" i="1" s="1"/>
  <c r="Q333" i="1"/>
  <c r="X333" i="1"/>
  <c r="Q553" i="1"/>
  <c r="X553" i="1"/>
  <c r="Q499" i="1"/>
  <c r="X499" i="1"/>
  <c r="AC206" i="1"/>
  <c r="AC152" i="1"/>
  <c r="AC230" i="1"/>
  <c r="AH423" i="1"/>
  <c r="AA423" i="1"/>
  <c r="AC423" i="1" s="1"/>
  <c r="Q383" i="1"/>
  <c r="X383" i="1"/>
  <c r="AA315" i="1"/>
  <c r="V315" i="1" s="1"/>
  <c r="Q315" i="1" s="1"/>
  <c r="L315" i="1" s="1"/>
  <c r="Q346" i="1"/>
  <c r="X346" i="1"/>
  <c r="Q388" i="1"/>
  <c r="X388" i="1"/>
  <c r="Q192" i="1"/>
  <c r="X192" i="1"/>
  <c r="Q424" i="1"/>
  <c r="X424" i="1"/>
  <c r="AC458" i="1"/>
  <c r="Q392" i="1"/>
  <c r="X392" i="1"/>
  <c r="V306" i="1"/>
  <c r="AC306" i="1"/>
  <c r="Q649" i="1"/>
  <c r="X649" i="1"/>
  <c r="Q550" i="1"/>
  <c r="X550" i="1"/>
  <c r="AC450" i="1"/>
  <c r="V438" i="1"/>
  <c r="Q206" i="1"/>
  <c r="X206" i="1"/>
  <c r="Q446" i="1"/>
  <c r="X446" i="1"/>
  <c r="V418" i="1"/>
  <c r="Q488" i="1"/>
  <c r="X488" i="1"/>
  <c r="AC319" i="1"/>
  <c r="V97" i="1"/>
  <c r="AC97" i="1"/>
  <c r="AC145" i="1"/>
  <c r="Q475" i="1"/>
  <c r="X475" i="1"/>
  <c r="V422" i="1"/>
  <c r="AC422" i="1"/>
  <c r="Q641" i="1"/>
  <c r="X641" i="1"/>
  <c r="AC224" i="1"/>
  <c r="Q630" i="1"/>
  <c r="X630" i="1"/>
  <c r="AA3" i="1"/>
  <c r="V3" i="1" s="1"/>
  <c r="Q3" i="1" s="1"/>
  <c r="L3" i="1" s="1"/>
  <c r="V17" i="1"/>
  <c r="AC17" i="1"/>
  <c r="Q426" i="1"/>
  <c r="X426" i="1"/>
  <c r="Q566" i="1"/>
  <c r="X566" i="1"/>
  <c r="V53" i="1"/>
  <c r="AC53" i="1"/>
  <c r="V625" i="1"/>
  <c r="AC625" i="1"/>
  <c r="Q404" i="1"/>
  <c r="X404" i="1"/>
  <c r="U508" i="1"/>
  <c r="V69" i="1"/>
  <c r="AC69" i="1"/>
  <c r="Q645" i="1"/>
  <c r="X645" i="1"/>
  <c r="Q401" i="1"/>
  <c r="X401" i="1"/>
  <c r="AC118" i="1"/>
  <c r="Q174" i="1"/>
  <c r="X174" i="1"/>
  <c r="Q343" i="1"/>
  <c r="X343" i="1"/>
  <c r="Q253" i="1"/>
  <c r="X253" i="1"/>
  <c r="Q442" i="1"/>
  <c r="X442" i="1"/>
  <c r="V77" i="1"/>
  <c r="AC77" i="1"/>
  <c r="V275" i="1"/>
  <c r="AC275" i="1"/>
  <c r="V597" i="1"/>
  <c r="AC597" i="1"/>
  <c r="Q480" i="1"/>
  <c r="X480" i="1"/>
  <c r="V403" i="1"/>
  <c r="Q403" i="1" s="1"/>
  <c r="L403" i="1" s="1"/>
  <c r="G14" i="2"/>
  <c r="H14" i="2" s="1"/>
  <c r="V290" i="1"/>
  <c r="AC290" i="1"/>
  <c r="AC645" i="1"/>
  <c r="Q584" i="1"/>
  <c r="X584" i="1"/>
  <c r="Q467" i="1"/>
  <c r="X467" i="1"/>
  <c r="V416" i="1"/>
  <c r="Q326" i="1"/>
  <c r="X326" i="1"/>
  <c r="Q516" i="1"/>
  <c r="X516" i="1"/>
  <c r="Q454" i="1"/>
  <c r="X454" i="1"/>
  <c r="V65" i="1"/>
  <c r="AC65" i="1"/>
  <c r="AC477" i="1"/>
  <c r="V617" i="1"/>
  <c r="AC617" i="1"/>
  <c r="Q613" i="1"/>
  <c r="X613" i="1"/>
  <c r="V45" i="1"/>
  <c r="AC45" i="1"/>
  <c r="AC354" i="1"/>
  <c r="AC365" i="1"/>
  <c r="AC473" i="1"/>
  <c r="AA627" i="1"/>
  <c r="V627" i="1" s="1"/>
  <c r="Q627" i="1" s="1"/>
  <c r="L627" i="1" s="1"/>
  <c r="V297" i="1"/>
  <c r="AC154" i="1"/>
  <c r="Q397" i="1"/>
  <c r="X397" i="1"/>
  <c r="Q482" i="1"/>
  <c r="X482" i="1"/>
  <c r="V212" i="1"/>
  <c r="Q224" i="1"/>
  <c r="X224" i="1"/>
  <c r="Q413" i="1"/>
  <c r="X413" i="1"/>
  <c r="Q479" i="1"/>
  <c r="X479" i="1"/>
  <c r="Q639" i="1"/>
  <c r="X639" i="1"/>
  <c r="Q4" i="1"/>
  <c r="X4" i="1"/>
  <c r="Q369" i="1"/>
  <c r="Q402" i="1"/>
  <c r="X402" i="1"/>
  <c r="V49" i="1"/>
  <c r="AC49" i="1"/>
  <c r="AC476" i="1"/>
  <c r="V101" i="1"/>
  <c r="V86" i="1"/>
  <c r="AC86" i="1"/>
  <c r="Q400" i="1"/>
  <c r="X400" i="1"/>
  <c r="Q316" i="1"/>
  <c r="X316" i="1"/>
  <c r="AC430" i="1"/>
  <c r="AC478" i="1"/>
  <c r="AC462" i="1"/>
  <c r="Q581" i="1"/>
  <c r="X581" i="1"/>
  <c r="AC569" i="1"/>
  <c r="AA481" i="1"/>
  <c r="V481" i="1" s="1"/>
  <c r="Q481" i="1" s="1"/>
  <c r="L481" i="1" s="1"/>
  <c r="AC525" i="1"/>
  <c r="V303" i="1"/>
  <c r="AC303" i="1"/>
  <c r="AC333" i="1"/>
  <c r="Q642" i="1"/>
  <c r="X642" i="1"/>
  <c r="Q337" i="1"/>
  <c r="X337" i="1"/>
  <c r="V90" i="1"/>
  <c r="Q348" i="1"/>
  <c r="X348" i="1"/>
  <c r="Q591" i="1"/>
  <c r="X591" i="1"/>
  <c r="AC550" i="1"/>
  <c r="V420" i="1"/>
  <c r="AC420" i="1"/>
  <c r="V7" i="1"/>
  <c r="AC7" i="1"/>
  <c r="Q557" i="1"/>
  <c r="X557" i="1"/>
  <c r="Q230" i="1"/>
  <c r="X230" i="1"/>
  <c r="Q495" i="1"/>
  <c r="X495" i="1"/>
  <c r="Q131" i="1"/>
  <c r="X131" i="1"/>
  <c r="Q417" i="1"/>
  <c r="X417" i="1"/>
  <c r="Q186" i="1"/>
  <c r="X186" i="1"/>
  <c r="V619" i="1"/>
  <c r="AC619" i="1"/>
  <c r="V9" i="1"/>
  <c r="AC9" i="1"/>
  <c r="Q477" i="1"/>
  <c r="X477" i="1"/>
  <c r="V94" i="1"/>
  <c r="AC94" i="1"/>
  <c r="V240" i="1"/>
  <c r="AC240" i="1"/>
  <c r="Q478" i="1"/>
  <c r="X478" i="1"/>
  <c r="Q513" i="1"/>
  <c r="X513" i="1"/>
  <c r="AF376" i="1"/>
  <c r="AA376" i="1" s="1"/>
  <c r="V376" i="1" s="1"/>
  <c r="Q376" i="1" s="1"/>
  <c r="L376" i="1" s="1"/>
  <c r="AA391" i="1"/>
  <c r="V391" i="1" s="1"/>
  <c r="Q391" i="1" s="1"/>
  <c r="L391" i="1" s="1"/>
  <c r="AC630" i="1"/>
  <c r="V41" i="1"/>
  <c r="AC41" i="1"/>
  <c r="V33" i="1"/>
  <c r="AC33" i="1"/>
  <c r="Q244" i="1"/>
  <c r="X244" i="1"/>
  <c r="Y602" i="1"/>
  <c r="Z602" i="1" s="1"/>
  <c r="AD602" i="1"/>
  <c r="AG602" i="1" s="1"/>
  <c r="AG601" i="1"/>
  <c r="G11" i="2"/>
  <c r="H11" i="2" s="1"/>
  <c r="G21" i="2"/>
  <c r="H21" i="2" s="1"/>
  <c r="AH601" i="1"/>
  <c r="AE508" i="1"/>
  <c r="AE107" i="1"/>
  <c r="AF600" i="1"/>
  <c r="H10" i="2"/>
  <c r="AC636" i="1"/>
  <c r="AC426" i="1"/>
  <c r="AC482" i="1"/>
  <c r="AH340" i="1"/>
  <c r="AF339" i="1"/>
  <c r="AA339" i="1" s="1"/>
  <c r="V339" i="1" s="1"/>
  <c r="Q339" i="1" s="1"/>
  <c r="L339" i="1" s="1"/>
  <c r="AF508" i="1"/>
  <c r="AC639" i="1"/>
  <c r="AC346" i="1"/>
  <c r="AH644" i="1"/>
  <c r="AC649" i="1"/>
  <c r="Z508" i="1"/>
  <c r="AC510" i="1"/>
  <c r="AC628" i="1"/>
  <c r="I22" i="2"/>
  <c r="AC109" i="1"/>
  <c r="AF638" i="1"/>
  <c r="AA638" i="1" s="1"/>
  <c r="V638" i="1" s="1"/>
  <c r="Q638" i="1" s="1"/>
  <c r="L638" i="1" s="1"/>
  <c r="AH639" i="1"/>
  <c r="AC644" i="1"/>
  <c r="AC337" i="1"/>
  <c r="AC340" i="1"/>
  <c r="Z107" i="1"/>
  <c r="AC557" i="1"/>
  <c r="AC316" i="1"/>
  <c r="H27" i="2"/>
  <c r="I27" i="2"/>
  <c r="G9" i="2"/>
  <c r="H19" i="2"/>
  <c r="I19" i="2"/>
  <c r="I18" i="2"/>
  <c r="H18" i="2"/>
  <c r="H26" i="2"/>
  <c r="I26" i="2"/>
  <c r="H23" i="2" l="1"/>
  <c r="I23" i="2"/>
  <c r="H24" i="2"/>
  <c r="I24" i="2"/>
  <c r="H17" i="2"/>
  <c r="I17" i="2"/>
  <c r="H25" i="2"/>
  <c r="I25" i="2"/>
  <c r="X125" i="1"/>
  <c r="X168" i="1"/>
  <c r="X572" i="1"/>
  <c r="Q469" i="1"/>
  <c r="S469" i="1" s="1"/>
  <c r="X199" i="1"/>
  <c r="X88" i="1"/>
  <c r="X587" i="1"/>
  <c r="L378" i="1"/>
  <c r="N378" i="1" s="1"/>
  <c r="S378" i="1"/>
  <c r="X367" i="1"/>
  <c r="I13" i="2"/>
  <c r="S465" i="1"/>
  <c r="L465" i="1"/>
  <c r="N465" i="1" s="1"/>
  <c r="S300" i="1"/>
  <c r="L300" i="1"/>
  <c r="N300" i="1" s="1"/>
  <c r="S466" i="1"/>
  <c r="L466" i="1"/>
  <c r="N466" i="1" s="1"/>
  <c r="S326" i="1"/>
  <c r="L326" i="1"/>
  <c r="N326" i="1" s="1"/>
  <c r="S154" i="1"/>
  <c r="L154" i="1"/>
  <c r="N154" i="1" s="1"/>
  <c r="S488" i="1"/>
  <c r="L488" i="1"/>
  <c r="N488" i="1" s="1"/>
  <c r="S584" i="1"/>
  <c r="L584" i="1"/>
  <c r="N584" i="1" s="1"/>
  <c r="S547" i="1"/>
  <c r="L547" i="1"/>
  <c r="N547" i="1" s="1"/>
  <c r="S168" i="1"/>
  <c r="L168" i="1"/>
  <c r="N168" i="1" s="1"/>
  <c r="S218" i="1"/>
  <c r="L218" i="1"/>
  <c r="N218" i="1" s="1"/>
  <c r="S244" i="1"/>
  <c r="L244" i="1"/>
  <c r="N244" i="1" s="1"/>
  <c r="S637" i="1"/>
  <c r="L637" i="1"/>
  <c r="N637" i="1" s="1"/>
  <c r="S607" i="1"/>
  <c r="L607" i="1"/>
  <c r="N607" i="1" s="1"/>
  <c r="S495" i="1"/>
  <c r="L495" i="1"/>
  <c r="N495" i="1" s="1"/>
  <c r="S316" i="1"/>
  <c r="L316" i="1"/>
  <c r="N316" i="1" s="1"/>
  <c r="S649" i="1"/>
  <c r="L649" i="1"/>
  <c r="N649" i="1" s="1"/>
  <c r="S587" i="1"/>
  <c r="L587" i="1"/>
  <c r="N587" i="1" s="1"/>
  <c r="S566" i="1"/>
  <c r="L566" i="1"/>
  <c r="N566" i="1" s="1"/>
  <c r="S519" i="1"/>
  <c r="L519" i="1"/>
  <c r="N519" i="1" s="1"/>
  <c r="S569" i="1"/>
  <c r="L569" i="1"/>
  <c r="N569" i="1" s="1"/>
  <c r="S152" i="1"/>
  <c r="L152" i="1"/>
  <c r="N152" i="1" s="1"/>
  <c r="S230" i="1"/>
  <c r="L230" i="1"/>
  <c r="N230" i="1" s="1"/>
  <c r="S400" i="1"/>
  <c r="L400" i="1"/>
  <c r="N400" i="1" s="1"/>
  <c r="S642" i="1"/>
  <c r="L642" i="1"/>
  <c r="N642" i="1" s="1"/>
  <c r="S199" i="1"/>
  <c r="L199" i="1"/>
  <c r="N199" i="1" s="1"/>
  <c r="S436" i="1"/>
  <c r="L436" i="1"/>
  <c r="N436" i="1" s="1"/>
  <c r="S131" i="1"/>
  <c r="L131" i="1"/>
  <c r="N131" i="1" s="1"/>
  <c r="S125" i="1"/>
  <c r="L125" i="1"/>
  <c r="N125" i="1" s="1"/>
  <c r="S402" i="1"/>
  <c r="L402" i="1"/>
  <c r="N402" i="1" s="1"/>
  <c r="S253" i="1"/>
  <c r="L253" i="1"/>
  <c r="N253" i="1" s="1"/>
  <c r="X465" i="1"/>
  <c r="S357" i="1"/>
  <c r="L357" i="1"/>
  <c r="N357" i="1" s="1"/>
  <c r="S319" i="1"/>
  <c r="L319" i="1"/>
  <c r="N319" i="1" s="1"/>
  <c r="S206" i="1"/>
  <c r="L206" i="1"/>
  <c r="N206" i="1" s="1"/>
  <c r="S634" i="1"/>
  <c r="L634" i="1"/>
  <c r="N634" i="1" s="1"/>
  <c r="S88" i="1"/>
  <c r="L88" i="1"/>
  <c r="N88" i="1" s="1"/>
  <c r="S613" i="1"/>
  <c r="L613" i="1"/>
  <c r="N613" i="1" s="1"/>
  <c r="S636" i="1"/>
  <c r="L636" i="1"/>
  <c r="N636" i="1" s="1"/>
  <c r="S361" i="1"/>
  <c r="L361" i="1"/>
  <c r="N361" i="1" s="1"/>
  <c r="S591" i="1"/>
  <c r="L591" i="1"/>
  <c r="N591" i="1" s="1"/>
  <c r="S641" i="1"/>
  <c r="L641" i="1"/>
  <c r="N641" i="1" s="1"/>
  <c r="S388" i="1"/>
  <c r="L388" i="1"/>
  <c r="N388" i="1" s="1"/>
  <c r="S525" i="1"/>
  <c r="L525" i="1"/>
  <c r="N525" i="1" s="1"/>
  <c r="S446" i="1"/>
  <c r="L446" i="1"/>
  <c r="N446" i="1" s="1"/>
  <c r="S140" i="1"/>
  <c r="L140" i="1"/>
  <c r="N140" i="1" s="1"/>
  <c r="S467" i="1"/>
  <c r="L467" i="1"/>
  <c r="N467" i="1" s="1"/>
  <c r="S143" i="1"/>
  <c r="L143" i="1"/>
  <c r="N143" i="1" s="1"/>
  <c r="S473" i="1"/>
  <c r="L473" i="1"/>
  <c r="N473" i="1" s="1"/>
  <c r="S471" i="1"/>
  <c r="L471" i="1"/>
  <c r="N471" i="1" s="1"/>
  <c r="S628" i="1"/>
  <c r="L628" i="1"/>
  <c r="N628" i="1" s="1"/>
  <c r="S294" i="1"/>
  <c r="L294" i="1"/>
  <c r="N294" i="1" s="1"/>
  <c r="Q470" i="1"/>
  <c r="S162" i="1"/>
  <c r="L162" i="1"/>
  <c r="N162" i="1" s="1"/>
  <c r="S522" i="1"/>
  <c r="L522" i="1"/>
  <c r="N522" i="1" s="1"/>
  <c r="I16" i="2"/>
  <c r="X300" i="1"/>
  <c r="S477" i="1"/>
  <c r="L477" i="1"/>
  <c r="N477" i="1" s="1"/>
  <c r="S118" i="1"/>
  <c r="L118" i="1"/>
  <c r="N118" i="1" s="1"/>
  <c r="S476" i="1"/>
  <c r="L476" i="1"/>
  <c r="N476" i="1" s="1"/>
  <c r="S224" i="1"/>
  <c r="L224" i="1"/>
  <c r="N224" i="1" s="1"/>
  <c r="S333" i="1"/>
  <c r="L333" i="1"/>
  <c r="N333" i="1" s="1"/>
  <c r="S479" i="1"/>
  <c r="L479" i="1"/>
  <c r="N479" i="1" s="1"/>
  <c r="S645" i="1"/>
  <c r="L645" i="1"/>
  <c r="N645" i="1" s="1"/>
  <c r="S646" i="1"/>
  <c r="L646" i="1"/>
  <c r="N646" i="1" s="1"/>
  <c r="S413" i="1"/>
  <c r="L413" i="1"/>
  <c r="N413" i="1" s="1"/>
  <c r="S137" i="1"/>
  <c r="L137" i="1"/>
  <c r="N137" i="1" s="1"/>
  <c r="S365" i="1"/>
  <c r="L365" i="1"/>
  <c r="N365" i="1" s="1"/>
  <c r="S186" i="1"/>
  <c r="L186" i="1"/>
  <c r="N186" i="1" s="1"/>
  <c r="S367" i="1"/>
  <c r="L367" i="1"/>
  <c r="N367" i="1" s="1"/>
  <c r="S581" i="1"/>
  <c r="L581" i="1"/>
  <c r="N581" i="1" s="1"/>
  <c r="S468" i="1"/>
  <c r="L468" i="1"/>
  <c r="N468" i="1" s="1"/>
  <c r="S480" i="1"/>
  <c r="L480" i="1"/>
  <c r="N480" i="1" s="1"/>
  <c r="S557" i="1"/>
  <c r="L557" i="1"/>
  <c r="N557" i="1" s="1"/>
  <c r="S462" i="1"/>
  <c r="L462" i="1"/>
  <c r="N462" i="1" s="1"/>
  <c r="Q505" i="1"/>
  <c r="X505" i="1"/>
  <c r="S513" i="1"/>
  <c r="L513" i="1"/>
  <c r="N513" i="1" s="1"/>
  <c r="S442" i="1"/>
  <c r="L442" i="1"/>
  <c r="N442" i="1" s="1"/>
  <c r="Q507" i="1"/>
  <c r="X507" i="1"/>
  <c r="S478" i="1"/>
  <c r="L478" i="1"/>
  <c r="N478" i="1" s="1"/>
  <c r="AA508" i="1"/>
  <c r="V508" i="1" s="1"/>
  <c r="Q508" i="1" s="1"/>
  <c r="L508" i="1" s="1"/>
  <c r="S346" i="1"/>
  <c r="L346" i="1"/>
  <c r="N346" i="1" s="1"/>
  <c r="S454" i="1"/>
  <c r="L454" i="1"/>
  <c r="N454" i="1" s="1"/>
  <c r="S174" i="1"/>
  <c r="L174" i="1"/>
  <c r="N174" i="1" s="1"/>
  <c r="S350" i="1"/>
  <c r="L350" i="1"/>
  <c r="N350" i="1" s="1"/>
  <c r="S490" i="1"/>
  <c r="L490" i="1"/>
  <c r="N490" i="1" s="1"/>
  <c r="H15" i="2"/>
  <c r="S475" i="1"/>
  <c r="L475" i="1"/>
  <c r="N475" i="1" s="1"/>
  <c r="S537" i="1"/>
  <c r="L537" i="1"/>
  <c r="N537" i="1" s="1"/>
  <c r="X466" i="1"/>
  <c r="S531" i="1"/>
  <c r="L531" i="1"/>
  <c r="N531" i="1" s="1"/>
  <c r="S340" i="1"/>
  <c r="L340" i="1"/>
  <c r="N340" i="1" s="1"/>
  <c r="S510" i="1"/>
  <c r="L510" i="1"/>
  <c r="N510" i="1" s="1"/>
  <c r="S404" i="1"/>
  <c r="L404" i="1"/>
  <c r="N404" i="1" s="1"/>
  <c r="S553" i="1"/>
  <c r="L553" i="1"/>
  <c r="N553" i="1" s="1"/>
  <c r="S482" i="1"/>
  <c r="L482" i="1"/>
  <c r="N482" i="1" s="1"/>
  <c r="S544" i="1"/>
  <c r="L544" i="1"/>
  <c r="N544" i="1" s="1"/>
  <c r="S572" i="1"/>
  <c r="L572" i="1"/>
  <c r="N572" i="1" s="1"/>
  <c r="S180" i="1"/>
  <c r="L180" i="1"/>
  <c r="N180" i="1" s="1"/>
  <c r="S550" i="1"/>
  <c r="L550" i="1"/>
  <c r="N550" i="1" s="1"/>
  <c r="S392" i="1"/>
  <c r="L392" i="1"/>
  <c r="N392" i="1" s="1"/>
  <c r="S450" i="1"/>
  <c r="L450" i="1"/>
  <c r="N450" i="1" s="1"/>
  <c r="S145" i="1"/>
  <c r="L145" i="1"/>
  <c r="N145" i="1" s="1"/>
  <c r="S4" i="1"/>
  <c r="L4" i="1"/>
  <c r="N4" i="1" s="1"/>
  <c r="S337" i="1"/>
  <c r="L337" i="1"/>
  <c r="N337" i="1" s="1"/>
  <c r="S639" i="1"/>
  <c r="L639" i="1"/>
  <c r="N639" i="1" s="1"/>
  <c r="S516" i="1"/>
  <c r="L516" i="1"/>
  <c r="N516" i="1" s="1"/>
  <c r="S383" i="1"/>
  <c r="L383" i="1"/>
  <c r="N383" i="1" s="1"/>
  <c r="S354" i="1"/>
  <c r="L354" i="1"/>
  <c r="N354" i="1" s="1"/>
  <c r="S499" i="1"/>
  <c r="L499" i="1"/>
  <c r="N499" i="1" s="1"/>
  <c r="S611" i="1"/>
  <c r="L611" i="1"/>
  <c r="N611" i="1" s="1"/>
  <c r="S417" i="1"/>
  <c r="L417" i="1"/>
  <c r="N417" i="1" s="1"/>
  <c r="S111" i="1"/>
  <c r="L111" i="1"/>
  <c r="N111" i="1" s="1"/>
  <c r="S397" i="1"/>
  <c r="L397" i="1"/>
  <c r="N397" i="1" s="1"/>
  <c r="S563" i="1"/>
  <c r="L563" i="1"/>
  <c r="N563" i="1" s="1"/>
  <c r="S426" i="1"/>
  <c r="L426" i="1"/>
  <c r="N426" i="1" s="1"/>
  <c r="S560" i="1"/>
  <c r="L560" i="1"/>
  <c r="N560" i="1" s="1"/>
  <c r="S458" i="1"/>
  <c r="L458" i="1"/>
  <c r="N458" i="1" s="1"/>
  <c r="S460" i="1"/>
  <c r="L460" i="1"/>
  <c r="N460" i="1" s="1"/>
  <c r="S424" i="1"/>
  <c r="L424" i="1"/>
  <c r="N424" i="1" s="1"/>
  <c r="S578" i="1"/>
  <c r="L578" i="1"/>
  <c r="N578" i="1" s="1"/>
  <c r="S630" i="1"/>
  <c r="L630" i="1"/>
  <c r="N630" i="1" s="1"/>
  <c r="S192" i="1"/>
  <c r="L192" i="1"/>
  <c r="N192" i="1" s="1"/>
  <c r="S235" i="1"/>
  <c r="L235" i="1"/>
  <c r="N235" i="1" s="1"/>
  <c r="S109" i="1"/>
  <c r="L109" i="1"/>
  <c r="N109" i="1" s="1"/>
  <c r="S369" i="1"/>
  <c r="L369" i="1"/>
  <c r="N369" i="1" s="1"/>
  <c r="S343" i="1"/>
  <c r="L343" i="1"/>
  <c r="N343" i="1" s="1"/>
  <c r="S528" i="1"/>
  <c r="L528" i="1"/>
  <c r="N528" i="1" s="1"/>
  <c r="S348" i="1"/>
  <c r="L348" i="1"/>
  <c r="N348" i="1" s="1"/>
  <c r="S485" i="1"/>
  <c r="L485" i="1"/>
  <c r="N485" i="1" s="1"/>
  <c r="S401" i="1"/>
  <c r="L401" i="1"/>
  <c r="N401" i="1" s="1"/>
  <c r="S430" i="1"/>
  <c r="L430" i="1"/>
  <c r="N430" i="1" s="1"/>
  <c r="S434" i="1"/>
  <c r="L434" i="1"/>
  <c r="N434" i="1" s="1"/>
  <c r="G12" i="2"/>
  <c r="I12" i="2" s="1"/>
  <c r="Q65" i="1"/>
  <c r="X65" i="1"/>
  <c r="Q90" i="1"/>
  <c r="X90" i="1"/>
  <c r="Q94" i="1"/>
  <c r="X94" i="1"/>
  <c r="Q286" i="1"/>
  <c r="X286" i="1"/>
  <c r="Q411" i="1"/>
  <c r="X411" i="1"/>
  <c r="AF107" i="1"/>
  <c r="AA107" i="1" s="1"/>
  <c r="V107" i="1" s="1"/>
  <c r="Q107" i="1" s="1"/>
  <c r="L107" i="1" s="1"/>
  <c r="Q212" i="1"/>
  <c r="X212" i="1"/>
  <c r="Q290" i="1"/>
  <c r="X290" i="1"/>
  <c r="X625" i="1"/>
  <c r="Q625" i="1"/>
  <c r="Q438" i="1"/>
  <c r="X438" i="1"/>
  <c r="V423" i="1"/>
  <c r="Q33" i="1"/>
  <c r="X33" i="1"/>
  <c r="Q422" i="1"/>
  <c r="X422" i="1"/>
  <c r="Q97" i="1"/>
  <c r="X97" i="1"/>
  <c r="Q418" i="1"/>
  <c r="X418" i="1"/>
  <c r="I14" i="2"/>
  <c r="Q25" i="1"/>
  <c r="X25" i="1"/>
  <c r="Q21" i="1"/>
  <c r="X21" i="1"/>
  <c r="Q440" i="1"/>
  <c r="X440" i="1"/>
  <c r="Q416" i="1"/>
  <c r="X416" i="1"/>
  <c r="Q303" i="1"/>
  <c r="X303" i="1"/>
  <c r="Q297" i="1"/>
  <c r="X297" i="1"/>
  <c r="Q408" i="1"/>
  <c r="X408" i="1"/>
  <c r="Q77" i="1"/>
  <c r="X77" i="1"/>
  <c r="Q45" i="1"/>
  <c r="X45" i="1"/>
  <c r="G20" i="2"/>
  <c r="H20" i="2" s="1"/>
  <c r="Q420" i="1"/>
  <c r="X420" i="1"/>
  <c r="Q49" i="1"/>
  <c r="X49" i="1"/>
  <c r="Q237" i="1"/>
  <c r="X237" i="1"/>
  <c r="Q240" i="1"/>
  <c r="X240" i="1"/>
  <c r="Q9" i="1"/>
  <c r="X9" i="1"/>
  <c r="Q309" i="1"/>
  <c r="X309" i="1"/>
  <c r="Q99" i="1"/>
  <c r="X99" i="1"/>
  <c r="Q275" i="1"/>
  <c r="X275" i="1"/>
  <c r="Q61" i="1"/>
  <c r="X61" i="1"/>
  <c r="Q17" i="1"/>
  <c r="X17" i="1"/>
  <c r="Q7" i="1"/>
  <c r="L7" i="1" s="1"/>
  <c r="V6" i="1"/>
  <c r="X7" i="1"/>
  <c r="Q81" i="1"/>
  <c r="X81" i="1"/>
  <c r="Q472" i="1"/>
  <c r="X472" i="1"/>
  <c r="Q69" i="1"/>
  <c r="X69" i="1"/>
  <c r="X619" i="1"/>
  <c r="Q619" i="1"/>
  <c r="Q597" i="1"/>
  <c r="X597" i="1"/>
  <c r="Q264" i="1"/>
  <c r="X264" i="1"/>
  <c r="Q306" i="1"/>
  <c r="X306" i="1"/>
  <c r="Q41" i="1"/>
  <c r="X41" i="1"/>
  <c r="Q104" i="1"/>
  <c r="X104" i="1"/>
  <c r="Q86" i="1"/>
  <c r="X86" i="1"/>
  <c r="Q421" i="1"/>
  <c r="X421" i="1"/>
  <c r="Q13" i="1"/>
  <c r="X13" i="1"/>
  <c r="Q617" i="1"/>
  <c r="X617" i="1"/>
  <c r="Q644" i="1"/>
  <c r="X644" i="1"/>
  <c r="Q615" i="1"/>
  <c r="X615" i="1"/>
  <c r="Q53" i="1"/>
  <c r="X53" i="1"/>
  <c r="Q594" i="1"/>
  <c r="X594" i="1"/>
  <c r="Q101" i="1"/>
  <c r="X101" i="1"/>
  <c r="AA602" i="1"/>
  <c r="V602" i="1" s="1"/>
  <c r="Q602" i="1" s="1"/>
  <c r="L602" i="1" s="1"/>
  <c r="Z601" i="1"/>
  <c r="Z600" i="1" s="1"/>
  <c r="AB602" i="1"/>
  <c r="W602" i="1" s="1"/>
  <c r="R602" i="1" s="1"/>
  <c r="M602" i="1" s="1"/>
  <c r="I11" i="2"/>
  <c r="I21" i="2"/>
  <c r="E28" i="2"/>
  <c r="E33" i="2" s="1"/>
  <c r="L469" i="1" l="1"/>
  <c r="N469" i="1" s="1"/>
  <c r="S625" i="1"/>
  <c r="L625" i="1"/>
  <c r="N625" i="1" s="1"/>
  <c r="S505" i="1"/>
  <c r="L505" i="1"/>
  <c r="N505" i="1" s="1"/>
  <c r="S45" i="1"/>
  <c r="L45" i="1"/>
  <c r="N45" i="1" s="1"/>
  <c r="S69" i="1"/>
  <c r="L69" i="1"/>
  <c r="N69" i="1" s="1"/>
  <c r="S77" i="1"/>
  <c r="L77" i="1"/>
  <c r="N77" i="1" s="1"/>
  <c r="S212" i="1"/>
  <c r="L212" i="1"/>
  <c r="N212" i="1" s="1"/>
  <c r="S240" i="1"/>
  <c r="L240" i="1"/>
  <c r="N240" i="1" s="1"/>
  <c r="S422" i="1"/>
  <c r="L422" i="1"/>
  <c r="N422" i="1" s="1"/>
  <c r="S237" i="1"/>
  <c r="L237" i="1"/>
  <c r="N237" i="1" s="1"/>
  <c r="S49" i="1"/>
  <c r="L49" i="1"/>
  <c r="N49" i="1" s="1"/>
  <c r="S597" i="1"/>
  <c r="L597" i="1"/>
  <c r="N597" i="1" s="1"/>
  <c r="S619" i="1"/>
  <c r="L619" i="1"/>
  <c r="N619" i="1" s="1"/>
  <c r="S421" i="1"/>
  <c r="L421" i="1"/>
  <c r="N421" i="1" s="1"/>
  <c r="S507" i="1"/>
  <c r="L507" i="1"/>
  <c r="N507" i="1" s="1"/>
  <c r="S264" i="1"/>
  <c r="L264" i="1"/>
  <c r="N264" i="1" s="1"/>
  <c r="S81" i="1"/>
  <c r="L81" i="1"/>
  <c r="N81" i="1" s="1"/>
  <c r="S286" i="1"/>
  <c r="L286" i="1"/>
  <c r="N286" i="1" s="1"/>
  <c r="S303" i="1"/>
  <c r="L303" i="1"/>
  <c r="N303" i="1" s="1"/>
  <c r="S615" i="1"/>
  <c r="L615" i="1"/>
  <c r="N615" i="1" s="1"/>
  <c r="S416" i="1"/>
  <c r="L416" i="1"/>
  <c r="N416" i="1" s="1"/>
  <c r="S438" i="1"/>
  <c r="L438" i="1"/>
  <c r="N438" i="1" s="1"/>
  <c r="S594" i="1"/>
  <c r="L594" i="1"/>
  <c r="N594" i="1" s="1"/>
  <c r="S17" i="1"/>
  <c r="L17" i="1"/>
  <c r="N17" i="1" s="1"/>
  <c r="S90" i="1"/>
  <c r="L90" i="1"/>
  <c r="N90" i="1" s="1"/>
  <c r="S101" i="1"/>
  <c r="L101" i="1"/>
  <c r="N101" i="1" s="1"/>
  <c r="S411" i="1"/>
  <c r="L411" i="1"/>
  <c r="N411" i="1" s="1"/>
  <c r="S644" i="1"/>
  <c r="L644" i="1"/>
  <c r="N644" i="1" s="1"/>
  <c r="S61" i="1"/>
  <c r="L61" i="1"/>
  <c r="N61" i="1" s="1"/>
  <c r="S65" i="1"/>
  <c r="L65" i="1"/>
  <c r="N65" i="1" s="1"/>
  <c r="S418" i="1"/>
  <c r="L418" i="1"/>
  <c r="N418" i="1" s="1"/>
  <c r="S86" i="1"/>
  <c r="L86" i="1"/>
  <c r="N86" i="1" s="1"/>
  <c r="S9" i="1"/>
  <c r="L9" i="1"/>
  <c r="N9" i="1" s="1"/>
  <c r="S41" i="1"/>
  <c r="L41" i="1"/>
  <c r="N41" i="1" s="1"/>
  <c r="S33" i="1"/>
  <c r="L33" i="1"/>
  <c r="N33" i="1" s="1"/>
  <c r="S472" i="1"/>
  <c r="L472" i="1"/>
  <c r="N472" i="1" s="1"/>
  <c r="S297" i="1"/>
  <c r="L297" i="1"/>
  <c r="N297" i="1" s="1"/>
  <c r="S53" i="1"/>
  <c r="L53" i="1"/>
  <c r="N53" i="1" s="1"/>
  <c r="S94" i="1"/>
  <c r="L94" i="1"/>
  <c r="N94" i="1" s="1"/>
  <c r="S617" i="1"/>
  <c r="L617" i="1"/>
  <c r="N617" i="1" s="1"/>
  <c r="S21" i="1"/>
  <c r="L21" i="1"/>
  <c r="N21" i="1" s="1"/>
  <c r="S309" i="1"/>
  <c r="L309" i="1"/>
  <c r="N309" i="1" s="1"/>
  <c r="S420" i="1"/>
  <c r="L420" i="1"/>
  <c r="N420" i="1" s="1"/>
  <c r="S470" i="1"/>
  <c r="L470" i="1"/>
  <c r="N470" i="1" s="1"/>
  <c r="S97" i="1"/>
  <c r="L97" i="1"/>
  <c r="N97" i="1" s="1"/>
  <c r="S104" i="1"/>
  <c r="L104" i="1"/>
  <c r="N104" i="1" s="1"/>
  <c r="S306" i="1"/>
  <c r="L306" i="1"/>
  <c r="N306" i="1" s="1"/>
  <c r="S290" i="1"/>
  <c r="L290" i="1"/>
  <c r="N290" i="1" s="1"/>
  <c r="S408" i="1"/>
  <c r="L408" i="1"/>
  <c r="N408" i="1" s="1"/>
  <c r="N7" i="1"/>
  <c r="S440" i="1"/>
  <c r="L440" i="1"/>
  <c r="N440" i="1" s="1"/>
  <c r="S275" i="1"/>
  <c r="L275" i="1"/>
  <c r="N275" i="1" s="1"/>
  <c r="S13" i="1"/>
  <c r="L13" i="1"/>
  <c r="N13" i="1" s="1"/>
  <c r="S25" i="1"/>
  <c r="L25" i="1"/>
  <c r="N25" i="1" s="1"/>
  <c r="S99" i="1"/>
  <c r="L99" i="1"/>
  <c r="N99" i="1" s="1"/>
  <c r="I20" i="2"/>
  <c r="H12" i="2"/>
  <c r="G28" i="2"/>
  <c r="G33" i="2" s="1"/>
  <c r="Q423" i="1"/>
  <c r="X423" i="1"/>
  <c r="S7" i="1"/>
  <c r="Q6" i="1"/>
  <c r="Y601" i="1"/>
  <c r="AB601" i="1" s="1"/>
  <c r="W601" i="1" s="1"/>
  <c r="R601" i="1" s="1"/>
  <c r="M601" i="1" s="1"/>
  <c r="AA600" i="1"/>
  <c r="AA601" i="1"/>
  <c r="I9" i="2"/>
  <c r="H9" i="2"/>
  <c r="C28" i="2"/>
  <c r="C33" i="2" s="1"/>
  <c r="S423" i="1" l="1"/>
  <c r="L423" i="1"/>
  <c r="N423" i="1" s="1"/>
  <c r="L6" i="1"/>
  <c r="I28" i="2"/>
  <c r="AC601" i="1"/>
  <c r="V601" i="1"/>
  <c r="Q601" i="1" s="1"/>
  <c r="L601" i="1" s="1"/>
  <c r="H28" i="2"/>
  <c r="I33" i="2"/>
  <c r="H33" i="2"/>
  <c r="L600" i="1" l="1"/>
  <c r="N600" i="1" s="1"/>
  <c r="N601" i="1"/>
  <c r="Q600" i="1"/>
  <c r="S600" i="1" s="1"/>
  <c r="S601" i="1"/>
  <c r="X601" i="1"/>
  <c r="V600" i="1"/>
  <c r="X600" i="1" s="1"/>
</calcChain>
</file>

<file path=xl/sharedStrings.xml><?xml version="1.0" encoding="utf-8"?>
<sst xmlns="http://schemas.openxmlformats.org/spreadsheetml/2006/main" count="2665" uniqueCount="349">
  <si>
    <t>ITEM</t>
  </si>
  <si>
    <t>PHASE</t>
  </si>
  <si>
    <t>DESCRIPTION OF WORK</t>
  </si>
  <si>
    <t>SCHEDULED VALUE</t>
  </si>
  <si>
    <t>COST</t>
  </si>
  <si>
    <t>PRICE</t>
  </si>
  <si>
    <t>QTY</t>
  </si>
  <si>
    <t>UOM</t>
  </si>
  <si>
    <t>UNIT PRICE</t>
  </si>
  <si>
    <t>AMT</t>
  </si>
  <si>
    <t>REM</t>
  </si>
  <si>
    <t>Rem Qty</t>
  </si>
  <si>
    <t>KENNY SENG CONSTRUCTION, INC.</t>
  </si>
  <si>
    <t>SCHEDULE OF VALUES</t>
  </si>
  <si>
    <t>Date:</t>
  </si>
  <si>
    <t>SCHEDULED</t>
  </si>
  <si>
    <t>WORK COMPLETED</t>
  </si>
  <si>
    <t xml:space="preserve">MATERIALS </t>
  </si>
  <si>
    <t>TOT COMPLETED</t>
  </si>
  <si>
    <t>% COMPLETE</t>
  </si>
  <si>
    <t>BALANCE TO</t>
  </si>
  <si>
    <t>VALUE</t>
  </si>
  <si>
    <t>PREVIOUS</t>
  </si>
  <si>
    <t>THIS PERIOD</t>
  </si>
  <si>
    <t>ON SITE</t>
  </si>
  <si>
    <t>FINISH</t>
  </si>
  <si>
    <t xml:space="preserve">      SUBTOTAL</t>
  </si>
  <si>
    <t>Change Orders</t>
  </si>
  <si>
    <t>TOTALS</t>
  </si>
  <si>
    <t>Site Concrete Prep</t>
  </si>
  <si>
    <t>Building Earthwork</t>
  </si>
  <si>
    <t>Structural Concrete</t>
  </si>
  <si>
    <t>Site Demolition</t>
  </si>
  <si>
    <t>Utilities (CW,FL,SD,SS,IRR)</t>
  </si>
  <si>
    <t>LS</t>
  </si>
  <si>
    <t>Remove Fence</t>
  </si>
  <si>
    <t>Remove Asphalt</t>
  </si>
  <si>
    <t>Dump Fees</t>
  </si>
  <si>
    <t>Export Trucking</t>
  </si>
  <si>
    <t>EACH</t>
  </si>
  <si>
    <t>LF</t>
  </si>
  <si>
    <t>SF</t>
  </si>
  <si>
    <t>CY</t>
  </si>
  <si>
    <t>TON</t>
  </si>
  <si>
    <t>Strip Topsoil</t>
  </si>
  <si>
    <t>Place Fill</t>
  </si>
  <si>
    <t>Cut To Fill</t>
  </si>
  <si>
    <t>Fine Grade</t>
  </si>
  <si>
    <t>Import Trucking</t>
  </si>
  <si>
    <t>Potholing</t>
  </si>
  <si>
    <t>Import Bedding Sand</t>
  </si>
  <si>
    <t>Import Bedding Gravel</t>
  </si>
  <si>
    <t>Concrete Collars</t>
  </si>
  <si>
    <t>Inlet Box Tie In</t>
  </si>
  <si>
    <t>6" Sanitary Sewer</t>
  </si>
  <si>
    <t xml:space="preserve">Sewer Line Testing </t>
  </si>
  <si>
    <t>4" Storm Drain</t>
  </si>
  <si>
    <t>6" Storm Drain</t>
  </si>
  <si>
    <t>8" Storm Drain</t>
  </si>
  <si>
    <t>12" Storm Drain</t>
  </si>
  <si>
    <t>15" Storm Drain</t>
  </si>
  <si>
    <t>Storm Drain Grout</t>
  </si>
  <si>
    <t>Storm Drain Inlet Box</t>
  </si>
  <si>
    <t>Storm Drain Testing</t>
  </si>
  <si>
    <t>4" Waterline</t>
  </si>
  <si>
    <t>6" Waterline</t>
  </si>
  <si>
    <t>8" Waterline</t>
  </si>
  <si>
    <t>Fire Hydrant</t>
  </si>
  <si>
    <t>Waterline Connections</t>
  </si>
  <si>
    <t>Waterline Testing</t>
  </si>
  <si>
    <t>Cut To Waste</t>
  </si>
  <si>
    <t>Excavate Footings</t>
  </si>
  <si>
    <t>Backfill Footings</t>
  </si>
  <si>
    <t>Building Floor Grading</t>
  </si>
  <si>
    <t>Footings</t>
  </si>
  <si>
    <t>Foundation Walls</t>
  </si>
  <si>
    <t>Slab On Grade</t>
  </si>
  <si>
    <t>Suspended Slabs</t>
  </si>
  <si>
    <t>Stairs &amp; Landings</t>
  </si>
  <si>
    <t>Misc. Structural Concrete</t>
  </si>
  <si>
    <t>Import Road Base</t>
  </si>
  <si>
    <t>Prep Concrete Curbs</t>
  </si>
  <si>
    <t>Prep Concrete Flatwork</t>
  </si>
  <si>
    <t>Concrete Curbs</t>
  </si>
  <si>
    <t>Concrete Flatwork</t>
  </si>
  <si>
    <t>ADA Ramp</t>
  </si>
  <si>
    <t>Base Under Parking Lot</t>
  </si>
  <si>
    <t>Site Earthwork</t>
  </si>
  <si>
    <t>Site Concrete</t>
  </si>
  <si>
    <t xml:space="preserve">Hot-Mix Asphalt (Prep)
</t>
  </si>
  <si>
    <t xml:space="preserve">Hot-Mix Asphalt Paving
</t>
  </si>
  <si>
    <t>Pavement Markings - Striping</t>
  </si>
  <si>
    <t>ONSITE</t>
  </si>
  <si>
    <t>Sewer Fittings &amp; Connections</t>
  </si>
  <si>
    <t>Precast Materials</t>
  </si>
  <si>
    <t>4" Sanitary Sewer</t>
  </si>
  <si>
    <t>Waterworks Materials</t>
  </si>
  <si>
    <t>10" Storm Drain</t>
  </si>
  <si>
    <t>SY</t>
  </si>
  <si>
    <t>Install Water Fittings &amp; Valves</t>
  </si>
  <si>
    <t>Thrust Blocks</t>
  </si>
  <si>
    <t>1" Waterline</t>
  </si>
  <si>
    <t>Loading Trucks</t>
  </si>
  <si>
    <t>Geo-Fabric</t>
  </si>
  <si>
    <t>Construction Water</t>
  </si>
  <si>
    <t>MGAL</t>
  </si>
  <si>
    <t>Striping Sub</t>
  </si>
  <si>
    <t>% Com</t>
  </si>
  <si>
    <t>Item #</t>
  </si>
  <si>
    <t>Total Direct Cost</t>
  </si>
  <si>
    <t>Job Cost ID</t>
  </si>
  <si>
    <t>Description</t>
  </si>
  <si>
    <t>Quantity</t>
  </si>
  <si>
    <t>UM</t>
  </si>
  <si>
    <t>Total Bid Price</t>
  </si>
  <si>
    <t>Total Plug</t>
  </si>
  <si>
    <t>Total Labor</t>
  </si>
  <si>
    <t>Total Equip.</t>
  </si>
  <si>
    <t>Total Material</t>
  </si>
  <si>
    <t>Total Subcontracted</t>
  </si>
  <si>
    <t>Total Trucking</t>
  </si>
  <si>
    <t xml:space="preserve">Temporary Erosion &amp; Sediment Control </t>
  </si>
  <si>
    <t>SWPPP</t>
  </si>
  <si>
    <t>Tree Removal</t>
  </si>
  <si>
    <t xml:space="preserve">Remove Concrete Flatwork 04" </t>
  </si>
  <si>
    <t>Remove Concrete Flatwork</t>
  </si>
  <si>
    <t>Remove Asphalt SF (03")</t>
  </si>
  <si>
    <t>Remove Curb/Gutter 24"</t>
  </si>
  <si>
    <t>Remove Curb And Gutter</t>
  </si>
  <si>
    <t xml:space="preserve">Remove Chain Link Fence </t>
  </si>
  <si>
    <t>Remove PVC Pipe (08") WATER</t>
  </si>
  <si>
    <t>Remove Pipe</t>
  </si>
  <si>
    <t>DY</t>
  </si>
  <si>
    <t>Import Efill</t>
  </si>
  <si>
    <t>Remove PVC Pipe (08") SEWER</t>
  </si>
  <si>
    <t xml:space="preserve">Remove Pipe RCP 15" </t>
  </si>
  <si>
    <t xml:space="preserve">Remove Light Pole/Base </t>
  </si>
  <si>
    <t>Remove Pole Base</t>
  </si>
  <si>
    <t xml:space="preserve">Remove Fire Hydrant </t>
  </si>
  <si>
    <t>Misc. Demolition</t>
  </si>
  <si>
    <t>Remove Concrete Greast Trap</t>
  </si>
  <si>
    <t>Remove Catch Basin</t>
  </si>
  <si>
    <t>Remove Catch Basin 2020</t>
  </si>
  <si>
    <t xml:space="preserve">Remove Manhole 60" </t>
  </si>
  <si>
    <t>Remove Manhole</t>
  </si>
  <si>
    <t>Remove Water Meter 2020</t>
  </si>
  <si>
    <t>Remove Basketball Standard</t>
  </si>
  <si>
    <t xml:space="preserve">Demo Bollard </t>
  </si>
  <si>
    <t>Strip &amp; Stockpile Topsoil Onsite Phase 1</t>
  </si>
  <si>
    <t>KSC Cut To Fill (D8/D6/621/563) Phase 1</t>
  </si>
  <si>
    <t>Import A1A Compacted CY Phase 1</t>
  </si>
  <si>
    <t>Fine Grade Roadway (140/563) Phase 1</t>
  </si>
  <si>
    <t>KSC Cut To Fill (D8/D6/621/563) Phase 2</t>
  </si>
  <si>
    <t>KSC Cut To Stockpile Phase 2</t>
  </si>
  <si>
    <t xml:space="preserve">Load &amp; Export Spoils </t>
  </si>
  <si>
    <t>Fine Grade Roadway (140/563) Phase 2</t>
  </si>
  <si>
    <t>Sewer</t>
  </si>
  <si>
    <t>Sewer Wye Connection 24 FT Deep</t>
  </si>
  <si>
    <t xml:space="preserve">SS Lateral Pipe SDR-35 06" </t>
  </si>
  <si>
    <t>Sewer Line Testing</t>
  </si>
  <si>
    <t xml:space="preserve">SS Lateral Pipe SDR-35 04" </t>
  </si>
  <si>
    <t xml:space="preserve">SD Cleanout 06" </t>
  </si>
  <si>
    <t>Iimport Bedding Gravel</t>
  </si>
  <si>
    <t xml:space="preserve">Concrete Collars </t>
  </si>
  <si>
    <t xml:space="preserve">SD Cleanout 04" </t>
  </si>
  <si>
    <t xml:space="preserve">SS (WYE) 06x04" </t>
  </si>
  <si>
    <t>SS (WYE) 04x04" 2021</t>
  </si>
  <si>
    <t xml:space="preserve">SS Connect To Exist Stub </t>
  </si>
  <si>
    <t xml:space="preserve">SS Grease Interceptor (600 Gal) </t>
  </si>
  <si>
    <t>Grease Interceptor</t>
  </si>
  <si>
    <t>Dewatering (4in Submersible Pump At Wellpoint 24/7)</t>
  </si>
  <si>
    <t>Dewatering</t>
  </si>
  <si>
    <t>Well Point ADS Perf 08"</t>
  </si>
  <si>
    <t>Import 2" Rock</t>
  </si>
  <si>
    <t>Storm Drain</t>
  </si>
  <si>
    <t xml:space="preserve">SD PVC SDR 04" </t>
  </si>
  <si>
    <t xml:space="preserve">SD PVC SDR 06" </t>
  </si>
  <si>
    <t>SD PVC SDR 08" 2020</t>
  </si>
  <si>
    <t xml:space="preserve">SD PVC SDR 10" </t>
  </si>
  <si>
    <t>SD PVC SDR 12" 2020</t>
  </si>
  <si>
    <t>SD RCP CL III 15" 2020</t>
  </si>
  <si>
    <t>SD Oil/Water Separator (2000 Gal) 2021</t>
  </si>
  <si>
    <t>SD Curb Inlet Box (02x03x04) 2020</t>
  </si>
  <si>
    <t>Storm Drain Fittings &amp; Connections</t>
  </si>
  <si>
    <t>SD Junction Box (2x2) 2020</t>
  </si>
  <si>
    <t>SD Catch Basin 4x4 2020</t>
  </si>
  <si>
    <t>SD Cleanout 04" 2020</t>
  </si>
  <si>
    <t>SD Fittings 04"</t>
  </si>
  <si>
    <t>Culinary Water &amp; Fire Lines</t>
  </si>
  <si>
    <t>CW Connect To Exist 08" Sleeve</t>
  </si>
  <si>
    <t>CW Connect To Exist</t>
  </si>
  <si>
    <t>Hot Tapping</t>
  </si>
  <si>
    <t>Culinary Water Poly 01" (LF) 2020</t>
  </si>
  <si>
    <t>Culinary Water Main C900 04" 2020</t>
  </si>
  <si>
    <t>Culinary Water Main C900 06" 2020</t>
  </si>
  <si>
    <t>Culinary Water Main C900 08" 2020</t>
  </si>
  <si>
    <t>Culinary Water Main C900 10" 2020</t>
  </si>
  <si>
    <t>10" Waterline</t>
  </si>
  <si>
    <t>TEE DI (08x06x08) 2021</t>
  </si>
  <si>
    <t>TEE DI (08x04x08) 2021</t>
  </si>
  <si>
    <t>Bend 45° 04" 2020</t>
  </si>
  <si>
    <t>Bend 45° 08" 2020</t>
  </si>
  <si>
    <t>Bend 45° 10" 2020</t>
  </si>
  <si>
    <t>Valve Gate (04") 2020</t>
  </si>
  <si>
    <t>Install Water Fittngs &amp; Valves</t>
  </si>
  <si>
    <t>Valve Gate (08") 2020</t>
  </si>
  <si>
    <t>Fire Hydrant 2020</t>
  </si>
  <si>
    <t>Pressure Irrigation</t>
  </si>
  <si>
    <t>PI Connect To Exist</t>
  </si>
  <si>
    <t>PI Main CL200 Purple 04" 2020</t>
  </si>
  <si>
    <t>PI Main CL200 Purple 06" 2020</t>
  </si>
  <si>
    <t>Fittings 06" 2020</t>
  </si>
  <si>
    <t>Under-Slab Gravel 4" 2020</t>
  </si>
  <si>
    <t>Cut To Waste Export 2020
9' To Remove Peat Beneath Buildings</t>
  </si>
  <si>
    <t>Import A1A Compacted CY 
Top 6' Beneath Buildings</t>
  </si>
  <si>
    <t>Import Rock Compacted CY 
Bottom 3' Beneath Buildings</t>
  </si>
  <si>
    <t>Import Rip Rap</t>
  </si>
  <si>
    <t>Geotextile Separation Fabric (SY) 2020</t>
  </si>
  <si>
    <t>Structural Concrete - Building A</t>
  </si>
  <si>
    <t>FTS2.0 (2.0') 2025</t>
  </si>
  <si>
    <t>FC2.0 (2.0') 2025</t>
  </si>
  <si>
    <t>FC3.0 (3.0') 2025</t>
  </si>
  <si>
    <t>Footing Step 2025</t>
  </si>
  <si>
    <t>CFW-1 (8") X (0.67') Symons 2020</t>
  </si>
  <si>
    <t>CFW-1 (8") X (2.50') Symons 2020</t>
  </si>
  <si>
    <t>CFW-2 (12") X (2.50') Symons 2020</t>
  </si>
  <si>
    <t>CFW-3 (16") X (2.50') Symons 2020</t>
  </si>
  <si>
    <t>Slab On Grade (4") 2025</t>
  </si>
  <si>
    <t>Mechanical Concrete Pad (6") 2025</t>
  </si>
  <si>
    <t>Structural Concrete - Building B</t>
  </si>
  <si>
    <t>Structural Concrete - Building C</t>
  </si>
  <si>
    <t>Structural Concrete - Building D</t>
  </si>
  <si>
    <t>FS3.0 (3.0') 2025</t>
  </si>
  <si>
    <t>Structural Concrete - Dumpster</t>
  </si>
  <si>
    <t>Curb &amp; Gutter Prep 24" (140/323) 2020</t>
  </si>
  <si>
    <t>Concrete Curb Wall Prep 6"x12"</t>
  </si>
  <si>
    <t>Prep Mow Curb 12"x6"</t>
  </si>
  <si>
    <t>Prep Mow Curb 12"x8"</t>
  </si>
  <si>
    <t>Prep Mow Curb 12"x12"</t>
  </si>
  <si>
    <t>Prep Mow Curb 18"x6"</t>
  </si>
  <si>
    <t>Concrete Flatwork Prep UBC 05"/04" 2020</t>
  </si>
  <si>
    <t>Heavy Duty Flatwork Prep UBC 6.5"/04" 2020</t>
  </si>
  <si>
    <t>Raised Crosswalk Prep UBC 6.5"/04" 2020</t>
  </si>
  <si>
    <t>Pitcher's Mound Flatwork Prep UBC 04"/04" 2020</t>
  </si>
  <si>
    <t>Bollard Base Prep</t>
  </si>
  <si>
    <t>Removable Bollard Base Prep</t>
  </si>
  <si>
    <t>Flagpole Base Prep</t>
  </si>
  <si>
    <t>KSC Curb &amp; Gutter 24" Slip Machine 2020</t>
  </si>
  <si>
    <t>KSC Concrete Curb Wall 2020</t>
  </si>
  <si>
    <t>Mow Curb 12"x06" 2020</t>
  </si>
  <si>
    <t>Mow Curb 12"x08" 2020</t>
  </si>
  <si>
    <t>Mow Curb 12"x12" 2020</t>
  </si>
  <si>
    <t>Mow Curb 18"x06" 2020</t>
  </si>
  <si>
    <t>Concrete Flatwork (05" Thick) 2020</t>
  </si>
  <si>
    <t>Heavy Duty Flatwork (06.5" Thick) 2020</t>
  </si>
  <si>
    <t>Raised Crosswalk Flatwork (11" Thick) 2020</t>
  </si>
  <si>
    <t>KSC Thickened Sidewalk Edge 2020</t>
  </si>
  <si>
    <t>KSC Thickened Pitchers Mound Edge 2020</t>
  </si>
  <si>
    <t>Bollard Base 2020</t>
  </si>
  <si>
    <t>Removable Bollard Base 2020</t>
  </si>
  <si>
    <t>Flagpole Base 2020</t>
  </si>
  <si>
    <t>Seating Stairs 2020</t>
  </si>
  <si>
    <t>Structural Concrete 2022</t>
  </si>
  <si>
    <t>Backstop Footing (2.50') 2025</t>
  </si>
  <si>
    <t>Steps Wall Waste Footing</t>
  </si>
  <si>
    <t>Backstop Foundation Wall (16") X (4.50') HDO 2020</t>
  </si>
  <si>
    <t>Concrete Steps Wall (12") X (5.0') HDO 2020</t>
  </si>
  <si>
    <t>Place Roadbase Parking 06" Light Duty(140/563/277/WT) 2020</t>
  </si>
  <si>
    <t>Place Roadbase Parking 08" Heavy Duty (140/563/277/WT) 2020</t>
  </si>
  <si>
    <t>Place Roadbase Trail 06" Asphalt Trail(140/563/277/WT) 2020</t>
  </si>
  <si>
    <t>Asphalt Paving Sub</t>
  </si>
  <si>
    <t>Exterior Sports Equipment</t>
  </si>
  <si>
    <t>Baseball Sports Equipment Install</t>
  </si>
  <si>
    <t>Backstop Pads</t>
  </si>
  <si>
    <t>Misc. Equipment Install</t>
  </si>
  <si>
    <t>Athletic Field Equipment</t>
  </si>
  <si>
    <t>Foul Pole</t>
  </si>
  <si>
    <t>Athletic Field Equipment Materials</t>
  </si>
  <si>
    <t>Dugout Sports Equipment</t>
  </si>
  <si>
    <t>Batting Cage/Netting</t>
  </si>
  <si>
    <t>Batting Cage Poles</t>
  </si>
  <si>
    <t>Dugout Leaning Pole Padding</t>
  </si>
  <si>
    <t>Fence Top Guard Cap W/Ties</t>
  </si>
  <si>
    <t>Batters Box</t>
  </si>
  <si>
    <t>Concrete Flatwork Prep UBC 06" 2020</t>
  </si>
  <si>
    <t>Reinforced Concrete Flatwork (04" Thick) 2020</t>
  </si>
  <si>
    <t>Nailer Board</t>
  </si>
  <si>
    <t>Pitchers Mound</t>
  </si>
  <si>
    <t>Concrete Flatwork Prep UBC 11" 2020</t>
  </si>
  <si>
    <t>Pitchers Mound Curb Wall 8" X 8"</t>
  </si>
  <si>
    <t>Pitchers Rubber</t>
  </si>
  <si>
    <t>Home Plates</t>
  </si>
  <si>
    <t>Bases (W/ In-ground Mounting Sleeves)</t>
  </si>
  <si>
    <t>Baseball Backstop Netting</t>
  </si>
  <si>
    <t>Pole To Pole Tensioned Baseball Netting</t>
  </si>
  <si>
    <t>Netting Poles</t>
  </si>
  <si>
    <t>Baseball Backstop Netting Install</t>
  </si>
  <si>
    <t>Softball Sports Equipment Install</t>
  </si>
  <si>
    <t>Softball Backstop Netting</t>
  </si>
  <si>
    <t>Softball Backstop Netting Install</t>
  </si>
  <si>
    <t>Soccer Sports Equipment Install</t>
  </si>
  <si>
    <t>Soccer Field 20' Netting</t>
  </si>
  <si>
    <t>Soccer Field Netting Install</t>
  </si>
  <si>
    <t>Soccer Goals</t>
  </si>
  <si>
    <t>Lacrosse Goals</t>
  </si>
  <si>
    <t xml:space="preserve">Turf Field Prep </t>
  </si>
  <si>
    <t>Turf Field (Complete) 2020</t>
  </si>
  <si>
    <t>6" Blended Gravel Under Turf</t>
  </si>
  <si>
    <t>Gravel Football Field 06"</t>
  </si>
  <si>
    <t>Place Field Drainage Gravel</t>
  </si>
  <si>
    <t xml:space="preserve">Field Drainage Material </t>
  </si>
  <si>
    <t>Pugmill Materials 2020 (ONSITE PER VANCE)</t>
  </si>
  <si>
    <t>Screen Processing</t>
  </si>
  <si>
    <t>Roadbase Football Field 08"</t>
  </si>
  <si>
    <t>Place Base Under Field</t>
  </si>
  <si>
    <t>HDPE Liner Football Field</t>
  </si>
  <si>
    <t>Place Field Liner</t>
  </si>
  <si>
    <t>Geotextile Football Field Below Liner</t>
  </si>
  <si>
    <t>Place Field Geotextile</t>
  </si>
  <si>
    <t>Geotextile Football Field Above Liner</t>
  </si>
  <si>
    <t>Geotextile Filter Fabric Below Road Base</t>
  </si>
  <si>
    <t>Football Field Drainage</t>
  </si>
  <si>
    <t>LD Field PERF ADS 12"</t>
  </si>
  <si>
    <t>LD Field ADS Flat Drain 01"x12"</t>
  </si>
  <si>
    <t>Field Flat Panel Drain</t>
  </si>
  <si>
    <t>LD Field ADS Flat Drain Connection 12x04</t>
  </si>
  <si>
    <t>Segmented Retaining Wall</t>
  </si>
  <si>
    <t>Leveling Pad</t>
  </si>
  <si>
    <t>Retaining Wall Sub</t>
  </si>
  <si>
    <t>Concrete Sign Wall - Tilt Panel</t>
  </si>
  <si>
    <t>Concrete Flatwork (03.5" Thick) 2020</t>
  </si>
  <si>
    <t>Baseball &amp; Softball Scoreboards</t>
  </si>
  <si>
    <t>Pothole (VacTruck)</t>
  </si>
  <si>
    <t>Concrete Pole Base</t>
  </si>
  <si>
    <t>Soccer Scoreboards</t>
  </si>
  <si>
    <t xml:space="preserve">Pothole (VacTruck) </t>
  </si>
  <si>
    <t>Building Demo (Concrete Slabs And Footings)</t>
  </si>
  <si>
    <t>Demolition Building &amp; Foundation (SF) 2020</t>
  </si>
  <si>
    <t>Building Demolition</t>
  </si>
  <si>
    <t>Hazwoper Training</t>
  </si>
  <si>
    <t>Training</t>
  </si>
  <si>
    <t xml:space="preserve">Misc. Site Concrete </t>
  </si>
  <si>
    <t>Job: Treasure Mountain Sports Complex</t>
  </si>
  <si>
    <t>KSC Concrete Washout</t>
  </si>
  <si>
    <t>Place Roadbase Parking 06" Light Duty(140/563/277/WT)</t>
  </si>
  <si>
    <t>Place Roadbase Parking 08" Heavy Duty (140/563/277/WT)</t>
  </si>
  <si>
    <t>Place Roadbase Trail 06" Asphalt Trail(140/563/277/WT)</t>
  </si>
  <si>
    <t>FENCE - NO CO YET SO BILLING IT HERE FOR NOW</t>
  </si>
  <si>
    <t>Payment Request 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</si>
</sst>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5" fillId="0" borderId="0" xfId="0" applyFont="1" applyAlignment="1" applyProtection="1">
      <alignment vertical="top"/>
      <protection locked="0"/>
    </xf>
    <xf numFmtId="15" fontId="4" fillId="0" borderId="1" xfId="0" quotePrefix="1" applyNumberFormat="1" applyFont="1" applyBorder="1" applyAlignment="1" applyProtection="1">
      <alignment horizontal="center" vertical="top"/>
      <protection locked="0"/>
    </xf>
    <xf numFmtId="0" fontId="4" fillId="0" borderId="3" xfId="0" applyFont="1" applyBorder="1" applyAlignment="1" applyProtection="1">
      <alignment horizontal="centerContinuous" vertical="top"/>
      <protection locked="0"/>
    </xf>
    <xf numFmtId="0" fontId="4" fillId="0" borderId="1" xfId="0" applyFont="1" applyBorder="1" applyAlignment="1" applyProtection="1">
      <alignment horizontal="centerContinuous" vertical="top"/>
      <protection locked="0"/>
    </xf>
    <xf numFmtId="7" fontId="4" fillId="0" borderId="3" xfId="0" applyNumberFormat="1" applyFont="1" applyBorder="1" applyAlignment="1" applyProtection="1">
      <alignment horizontal="centerContinuous" vertical="top"/>
      <protection locked="0"/>
    </xf>
    <xf numFmtId="0" fontId="4" fillId="0" borderId="4" xfId="0" applyFont="1" applyBorder="1" applyAlignment="1" applyProtection="1">
      <alignment horizontal="centerContinuous" vertical="top"/>
      <protection locked="0"/>
    </xf>
    <xf numFmtId="7" fontId="4" fillId="0" borderId="4" xfId="0" applyNumberFormat="1" applyFont="1" applyBorder="1" applyAlignment="1" applyProtection="1">
      <alignment horizontal="centerContinuous" vertical="top"/>
      <protection locked="0"/>
    </xf>
    <xf numFmtId="9" fontId="6" fillId="0" borderId="1" xfId="0" applyNumberFormat="1" applyFont="1" applyBorder="1" applyAlignment="1" applyProtection="1">
      <alignment vertical="top"/>
      <protection locked="0"/>
    </xf>
    <xf numFmtId="0" fontId="4" fillId="0" borderId="1" xfId="0" applyFont="1" applyBorder="1" applyAlignment="1" applyProtection="1">
      <alignment vertical="top"/>
      <protection locked="0"/>
    </xf>
    <xf numFmtId="44" fontId="6" fillId="0" borderId="1" xfId="0" applyNumberFormat="1" applyFont="1" applyBorder="1" applyAlignment="1" applyProtection="1">
      <alignment vertical="top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6" fillId="0" borderId="0" xfId="0" applyFont="1" applyAlignment="1" applyProtection="1">
      <alignment vertical="top"/>
      <protection locked="0"/>
    </xf>
    <xf numFmtId="7" fontId="6" fillId="0" borderId="0" xfId="0" applyNumberFormat="1" applyFont="1" applyAlignment="1" applyProtection="1">
      <alignment vertical="top"/>
      <protection locked="0"/>
    </xf>
    <xf numFmtId="9" fontId="6" fillId="0" borderId="0" xfId="0" applyNumberFormat="1" applyFont="1" applyAlignment="1" applyProtection="1">
      <alignment vertical="top"/>
      <protection locked="0"/>
    </xf>
    <xf numFmtId="0" fontId="7" fillId="0" borderId="0" xfId="0" applyFont="1" applyAlignment="1" applyProtection="1">
      <alignment horizontal="center" vertical="top"/>
      <protection locked="0"/>
    </xf>
    <xf numFmtId="7" fontId="5" fillId="0" borderId="0" xfId="0" applyNumberFormat="1" applyFont="1" applyAlignment="1" applyProtection="1">
      <alignment vertical="top"/>
      <protection locked="0"/>
    </xf>
    <xf numFmtId="0" fontId="5" fillId="0" borderId="1" xfId="0" applyFont="1" applyBorder="1" applyAlignment="1" applyProtection="1">
      <alignment vertical="top"/>
      <protection locked="0"/>
    </xf>
    <xf numFmtId="0" fontId="6" fillId="0" borderId="1" xfId="0" applyFont="1" applyBorder="1" applyAlignment="1" applyProtection="1">
      <alignment vertical="top"/>
      <protection locked="0"/>
    </xf>
    <xf numFmtId="0" fontId="2" fillId="3" borderId="1" xfId="0" applyFont="1" applyFill="1" applyBorder="1" applyAlignment="1" applyProtection="1">
      <alignment horizontal="center" vertical="top"/>
      <protection locked="0"/>
    </xf>
    <xf numFmtId="0" fontId="6" fillId="3" borderId="1" xfId="0" applyFont="1" applyFill="1" applyBorder="1" applyAlignment="1" applyProtection="1">
      <alignment horizontal="center" vertical="top"/>
      <protection locked="0"/>
    </xf>
    <xf numFmtId="44" fontId="6" fillId="0" borderId="1" xfId="2" applyFont="1" applyBorder="1" applyAlignment="1" applyProtection="1">
      <alignment vertical="top"/>
      <protection locked="0"/>
    </xf>
    <xf numFmtId="0" fontId="3" fillId="2" borderId="1" xfId="0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 applyProtection="1">
      <alignment vertical="top"/>
      <protection locked="0"/>
    </xf>
    <xf numFmtId="44" fontId="3" fillId="2" borderId="1" xfId="0" applyNumberFormat="1" applyFont="1" applyFill="1" applyBorder="1" applyAlignment="1" applyProtection="1">
      <alignment vertical="top"/>
      <protection locked="0"/>
    </xf>
    <xf numFmtId="9" fontId="3" fillId="2" borderId="1" xfId="3" applyFont="1" applyFill="1" applyBorder="1" applyAlignment="1" applyProtection="1">
      <alignment vertical="top"/>
      <protection locked="0"/>
    </xf>
    <xf numFmtId="0" fontId="4" fillId="7" borderId="1" xfId="0" applyFont="1" applyFill="1" applyBorder="1" applyAlignment="1" applyProtection="1">
      <alignment vertical="top"/>
      <protection locked="0"/>
    </xf>
    <xf numFmtId="44" fontId="4" fillId="7" borderId="1" xfId="2" applyFont="1" applyFill="1" applyBorder="1" applyAlignment="1" applyProtection="1">
      <alignment vertical="top"/>
      <protection locked="0"/>
    </xf>
    <xf numFmtId="9" fontId="4" fillId="7" borderId="1" xfId="0" applyNumberFormat="1" applyFont="1" applyFill="1" applyBorder="1" applyAlignment="1" applyProtection="1">
      <alignment vertical="top"/>
      <protection locked="0"/>
    </xf>
    <xf numFmtId="44" fontId="4" fillId="7" borderId="1" xfId="0" applyNumberFormat="1" applyFont="1" applyFill="1" applyBorder="1" applyAlignment="1" applyProtection="1">
      <alignment vertical="top"/>
      <protection locked="0"/>
    </xf>
    <xf numFmtId="9" fontId="6" fillId="7" borderId="1" xfId="0" applyNumberFormat="1" applyFont="1" applyFill="1" applyBorder="1" applyAlignment="1" applyProtection="1">
      <alignment vertical="top"/>
      <protection locked="0"/>
    </xf>
    <xf numFmtId="44" fontId="6" fillId="7" borderId="1" xfId="0" applyNumberFormat="1" applyFont="1" applyFill="1" applyBorder="1" applyAlignment="1" applyProtection="1">
      <alignment vertical="top"/>
      <protection locked="0"/>
    </xf>
    <xf numFmtId="44" fontId="6" fillId="0" borderId="1" xfId="2" applyFont="1" applyFill="1" applyBorder="1" applyAlignment="1" applyProtection="1">
      <alignment vertical="top"/>
      <protection locked="0"/>
    </xf>
    <xf numFmtId="44" fontId="4" fillId="0" borderId="1" xfId="2" applyFont="1" applyBorder="1" applyAlignment="1" applyProtection="1">
      <alignment horizontal="center" vertical="top"/>
      <protection locked="0"/>
    </xf>
    <xf numFmtId="44" fontId="4" fillId="0" borderId="3" xfId="2" applyFont="1" applyBorder="1" applyAlignment="1" applyProtection="1">
      <alignment horizontal="centerContinuous" vertical="top"/>
      <protection locked="0"/>
    </xf>
    <xf numFmtId="44" fontId="4" fillId="0" borderId="4" xfId="2" applyFont="1" applyBorder="1" applyAlignment="1" applyProtection="1">
      <alignment horizontal="centerContinuous" vertical="top"/>
      <protection locked="0"/>
    </xf>
    <xf numFmtId="44" fontId="3" fillId="2" borderId="1" xfId="2" applyFont="1" applyFill="1" applyBorder="1" applyAlignment="1" applyProtection="1">
      <alignment vertical="center"/>
      <protection locked="0"/>
    </xf>
    <xf numFmtId="44" fontId="3" fillId="2" borderId="1" xfId="2" applyFont="1" applyFill="1" applyBorder="1" applyAlignment="1" applyProtection="1">
      <alignment vertical="top"/>
      <protection locked="0"/>
    </xf>
    <xf numFmtId="44" fontId="5" fillId="0" borderId="1" xfId="2" applyFont="1" applyBorder="1" applyAlignment="1" applyProtection="1">
      <alignment vertical="top"/>
      <protection locked="0"/>
    </xf>
    <xf numFmtId="44" fontId="6" fillId="0" borderId="0" xfId="2" applyFont="1" applyAlignment="1" applyProtection="1">
      <alignment vertical="top"/>
      <protection locked="0"/>
    </xf>
    <xf numFmtId="44" fontId="4" fillId="0" borderId="0" xfId="2" applyFont="1" applyAlignment="1" applyProtection="1">
      <alignment vertical="top"/>
      <protection locked="0"/>
    </xf>
    <xf numFmtId="44" fontId="5" fillId="0" borderId="0" xfId="2" applyFont="1" applyAlignment="1" applyProtection="1">
      <alignment vertical="top"/>
      <protection locked="0"/>
    </xf>
    <xf numFmtId="44" fontId="6" fillId="0" borderId="0" xfId="0" applyNumberFormat="1" applyFont="1" applyAlignment="1" applyProtection="1">
      <alignment vertical="top"/>
      <protection locked="0"/>
    </xf>
    <xf numFmtId="0" fontId="4" fillId="0" borderId="1" xfId="0" applyFont="1" applyBorder="1" applyAlignment="1" applyProtection="1">
      <alignment horizontal="center" vertical="top"/>
      <protection locked="0"/>
    </xf>
    <xf numFmtId="0" fontId="4" fillId="0" borderId="4" xfId="0" applyFont="1" applyBorder="1" applyAlignment="1" applyProtection="1">
      <alignment horizontal="center" vertical="top"/>
      <protection locked="0"/>
    </xf>
    <xf numFmtId="0" fontId="4" fillId="0" borderId="4" xfId="0" applyFont="1" applyBorder="1" applyAlignment="1" applyProtection="1">
      <alignment horizontal="center" vertical="top" wrapText="1"/>
      <protection locked="0"/>
    </xf>
    <xf numFmtId="8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wrapText="1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wrapText="1" indent="4"/>
    </xf>
    <xf numFmtId="0" fontId="6" fillId="0" borderId="1" xfId="0" applyFont="1" applyBorder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vertical="top"/>
      <protection locked="0"/>
    </xf>
    <xf numFmtId="43" fontId="3" fillId="5" borderId="1" xfId="1" applyFont="1" applyFill="1" applyBorder="1" applyAlignment="1" applyProtection="1">
      <alignment horizontal="center" vertical="top"/>
      <protection locked="0"/>
    </xf>
    <xf numFmtId="44" fontId="3" fillId="5" borderId="1" xfId="2" applyFont="1" applyFill="1" applyBorder="1" applyAlignment="1" applyProtection="1">
      <alignment horizontal="center" vertical="top"/>
      <protection locked="0"/>
    </xf>
    <xf numFmtId="9" fontId="3" fillId="5" borderId="1" xfId="3" applyFont="1" applyFill="1" applyBorder="1" applyAlignment="1" applyProtection="1">
      <alignment horizontal="center" vertical="top"/>
      <protection locked="0"/>
    </xf>
    <xf numFmtId="0" fontId="3" fillId="6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vertical="top"/>
    </xf>
    <xf numFmtId="44" fontId="3" fillId="6" borderId="1" xfId="2" applyFont="1" applyFill="1" applyBorder="1" applyAlignment="1">
      <alignment vertical="top"/>
    </xf>
    <xf numFmtId="43" fontId="3" fillId="6" borderId="1" xfId="1" applyFont="1" applyFill="1" applyBorder="1" applyAlignment="1">
      <alignment vertical="top"/>
    </xf>
    <xf numFmtId="8" fontId="3" fillId="6" borderId="1" xfId="0" applyNumberFormat="1" applyFont="1" applyFill="1" applyBorder="1" applyAlignment="1">
      <alignment vertical="top"/>
    </xf>
    <xf numFmtId="9" fontId="3" fillId="6" borderId="1" xfId="3" applyFont="1" applyFill="1" applyBorder="1" applyAlignment="1" applyProtection="1">
      <alignment vertical="top"/>
      <protection locked="0"/>
    </xf>
    <xf numFmtId="0" fontId="2" fillId="9" borderId="1" xfId="0" applyFont="1" applyFill="1" applyBorder="1" applyAlignment="1" applyProtection="1">
      <alignment horizontal="center" vertical="top"/>
      <protection locked="0"/>
    </xf>
    <xf numFmtId="0" fontId="2" fillId="9" borderId="1" xfId="0" applyFont="1" applyFill="1" applyBorder="1" applyAlignment="1" applyProtection="1">
      <alignment vertical="top"/>
      <protection locked="0"/>
    </xf>
    <xf numFmtId="44" fontId="2" fillId="9" borderId="1" xfId="2" applyFont="1" applyFill="1" applyBorder="1" applyAlignment="1" applyProtection="1">
      <alignment vertical="top"/>
      <protection locked="0"/>
    </xf>
    <xf numFmtId="43" fontId="2" fillId="9" borderId="1" xfId="1" applyFont="1" applyFill="1" applyBorder="1" applyAlignment="1" applyProtection="1">
      <alignment vertical="top"/>
      <protection locked="0"/>
    </xf>
    <xf numFmtId="9" fontId="2" fillId="9" borderId="1" xfId="3" applyFont="1" applyFill="1" applyBorder="1" applyAlignment="1" applyProtection="1">
      <alignment vertical="top"/>
      <protection locked="0"/>
    </xf>
    <xf numFmtId="0" fontId="2" fillId="0" borderId="1" xfId="0" applyFont="1" applyBorder="1" applyAlignment="1" applyProtection="1">
      <alignment horizontal="center" vertical="top"/>
      <protection locked="0"/>
    </xf>
    <xf numFmtId="0" fontId="2" fillId="0" borderId="1" xfId="0" applyFont="1" applyBorder="1" applyAlignment="1" applyProtection="1">
      <alignment horizontal="left" vertical="top" indent="1"/>
      <protection locked="0"/>
    </xf>
    <xf numFmtId="44" fontId="2" fillId="0" borderId="1" xfId="2" applyFont="1" applyBorder="1" applyAlignment="1" applyProtection="1">
      <alignment vertical="top"/>
      <protection locked="0"/>
    </xf>
    <xf numFmtId="44" fontId="2" fillId="0" borderId="1" xfId="2" applyFont="1" applyFill="1" applyBorder="1" applyAlignment="1" applyProtection="1">
      <alignment vertical="top"/>
      <protection locked="0"/>
    </xf>
    <xf numFmtId="43" fontId="2" fillId="0" borderId="1" xfId="1" applyFont="1" applyFill="1" applyBorder="1" applyAlignment="1" applyProtection="1">
      <alignment vertical="top"/>
      <protection locked="0"/>
    </xf>
    <xf numFmtId="9" fontId="2" fillId="0" borderId="1" xfId="3" applyFont="1" applyFill="1" applyBorder="1" applyAlignment="1" applyProtection="1">
      <alignment vertical="top"/>
      <protection locked="0"/>
    </xf>
    <xf numFmtId="2" fontId="2" fillId="9" borderId="1" xfId="0" applyNumberFormat="1" applyFont="1" applyFill="1" applyBorder="1" applyAlignment="1" applyProtection="1">
      <alignment vertical="top"/>
      <protection locked="0"/>
    </xf>
    <xf numFmtId="0" fontId="3" fillId="0" borderId="1" xfId="0" applyFont="1" applyBorder="1" applyAlignment="1" applyProtection="1">
      <alignment vertical="top"/>
      <protection locked="0"/>
    </xf>
    <xf numFmtId="0" fontId="3" fillId="10" borderId="1" xfId="0" applyFont="1" applyFill="1" applyBorder="1" applyAlignment="1" applyProtection="1">
      <alignment vertical="top"/>
      <protection locked="0"/>
    </xf>
    <xf numFmtId="0" fontId="3" fillId="10" borderId="1" xfId="0" applyFont="1" applyFill="1" applyBorder="1" applyAlignment="1" applyProtection="1">
      <alignment horizontal="center" vertical="top"/>
      <protection locked="0"/>
    </xf>
    <xf numFmtId="44" fontId="3" fillId="10" borderId="1" xfId="2" applyFont="1" applyFill="1" applyBorder="1" applyAlignment="1" applyProtection="1">
      <alignment vertical="top"/>
      <protection locked="0"/>
    </xf>
    <xf numFmtId="43" fontId="3" fillId="10" borderId="1" xfId="1" applyFont="1" applyFill="1" applyBorder="1" applyAlignment="1" applyProtection="1">
      <alignment vertical="top"/>
      <protection locked="0"/>
    </xf>
    <xf numFmtId="9" fontId="3" fillId="10" borderId="1" xfId="3" applyFont="1" applyFill="1" applyBorder="1" applyAlignment="1" applyProtection="1">
      <alignment vertical="top"/>
      <protection locked="0"/>
    </xf>
    <xf numFmtId="43" fontId="3" fillId="11" borderId="1" xfId="1" applyFont="1" applyFill="1" applyBorder="1" applyAlignment="1" applyProtection="1">
      <alignment horizontal="center" vertical="top"/>
      <protection locked="0"/>
    </xf>
    <xf numFmtId="44" fontId="3" fillId="11" borderId="1" xfId="2" applyFont="1" applyFill="1" applyBorder="1" applyAlignment="1" applyProtection="1">
      <alignment horizontal="center" vertical="top"/>
      <protection locked="0"/>
    </xf>
    <xf numFmtId="9" fontId="3" fillId="11" borderId="1" xfId="3" applyFont="1" applyFill="1" applyBorder="1" applyAlignment="1" applyProtection="1">
      <alignment horizontal="center" vertical="top"/>
      <protection locked="0"/>
    </xf>
    <xf numFmtId="43" fontId="2" fillId="12" borderId="1" xfId="1" applyFont="1" applyFill="1" applyBorder="1" applyAlignment="1" applyProtection="1">
      <alignment vertical="top"/>
      <protection locked="0"/>
    </xf>
    <xf numFmtId="0" fontId="10" fillId="0" borderId="1" xfId="0" applyFont="1" applyBorder="1" applyAlignment="1" applyProtection="1">
      <alignment vertical="top"/>
      <protection locked="0"/>
    </xf>
    <xf numFmtId="43" fontId="3" fillId="12" borderId="1" xfId="1" applyFont="1" applyFill="1" applyBorder="1" applyAlignment="1" applyProtection="1">
      <alignment horizontal="center" vertical="top"/>
      <protection locked="0"/>
    </xf>
    <xf numFmtId="44" fontId="3" fillId="12" borderId="1" xfId="2" applyFont="1" applyFill="1" applyBorder="1" applyAlignment="1" applyProtection="1">
      <alignment horizontal="center" vertical="top"/>
      <protection locked="0"/>
    </xf>
    <xf numFmtId="9" fontId="3" fillId="12" borderId="1" xfId="3" applyFont="1" applyFill="1" applyBorder="1" applyAlignment="1" applyProtection="1">
      <alignment horizontal="center" vertical="top"/>
      <protection locked="0"/>
    </xf>
    <xf numFmtId="0" fontId="3" fillId="11" borderId="1" xfId="0" applyFont="1" applyFill="1" applyBorder="1" applyAlignment="1" applyProtection="1">
      <alignment vertical="top"/>
      <protection locked="0"/>
    </xf>
    <xf numFmtId="0" fontId="2" fillId="11" borderId="1" xfId="0" applyFont="1" applyFill="1" applyBorder="1" applyAlignment="1" applyProtection="1">
      <alignment vertical="top"/>
      <protection locked="0"/>
    </xf>
    <xf numFmtId="44" fontId="2" fillId="12" borderId="1" xfId="2" applyFont="1" applyFill="1" applyBorder="1" applyAlignment="1" applyProtection="1">
      <alignment vertical="top"/>
      <protection locked="0"/>
    </xf>
    <xf numFmtId="0" fontId="6" fillId="0" borderId="2" xfId="0" applyFont="1" applyBorder="1" applyAlignment="1" applyProtection="1">
      <alignment horizontal="center" vertical="top"/>
      <protection locked="0"/>
    </xf>
    <xf numFmtId="0" fontId="4" fillId="0" borderId="1" xfId="0" applyFont="1" applyBorder="1" applyAlignment="1" applyProtection="1">
      <alignment horizontal="center" vertical="top"/>
      <protection locked="0"/>
    </xf>
    <xf numFmtId="0" fontId="4" fillId="0" borderId="3" xfId="0" applyFont="1" applyBorder="1" applyAlignment="1" applyProtection="1">
      <alignment horizontal="center" vertical="top"/>
      <protection locked="0"/>
    </xf>
    <xf numFmtId="0" fontId="4" fillId="0" borderId="4" xfId="0" applyFont="1" applyBorder="1" applyAlignment="1" applyProtection="1">
      <alignment horizontal="center" vertical="top"/>
      <protection locked="0"/>
    </xf>
    <xf numFmtId="0" fontId="4" fillId="0" borderId="3" xfId="0" applyFont="1" applyBorder="1" applyAlignment="1" applyProtection="1">
      <alignment horizontal="center" vertical="top" wrapText="1"/>
      <protection locked="0"/>
    </xf>
    <xf numFmtId="0" fontId="4" fillId="0" borderId="4" xfId="0" applyFont="1" applyBorder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center" vertical="top"/>
      <protection locked="0"/>
    </xf>
    <xf numFmtId="0" fontId="5" fillId="0" borderId="0" xfId="0" applyFont="1" applyAlignment="1" applyProtection="1">
      <alignment horizontal="center" vertical="top"/>
      <protection locked="0"/>
    </xf>
    <xf numFmtId="17" fontId="3" fillId="5" borderId="1" xfId="0" quotePrefix="1" applyNumberFormat="1" applyFont="1" applyFill="1" applyBorder="1" applyAlignment="1" applyProtection="1">
      <alignment horizontal="center" vertical="top"/>
      <protection locked="0"/>
    </xf>
    <xf numFmtId="44" fontId="9" fillId="8" borderId="1" xfId="2" applyFont="1" applyFill="1" applyBorder="1" applyAlignment="1" applyProtection="1">
      <alignment horizontal="center" vertical="top"/>
      <protection locked="0"/>
    </xf>
    <xf numFmtId="0" fontId="9" fillId="8" borderId="1" xfId="0" applyFont="1" applyFill="1" applyBorder="1" applyAlignment="1" applyProtection="1">
      <alignment horizontal="center" vertical="top"/>
      <protection locked="0"/>
    </xf>
    <xf numFmtId="44" fontId="9" fillId="8" borderId="1" xfId="2" applyFont="1" applyFill="1" applyBorder="1" applyAlignment="1" applyProtection="1">
      <alignment horizontal="center" vertical="top" wrapText="1"/>
      <protection locked="0"/>
    </xf>
    <xf numFmtId="43" fontId="9" fillId="8" borderId="1" xfId="1" applyFont="1" applyFill="1" applyBorder="1" applyAlignment="1" applyProtection="1">
      <alignment horizontal="center" vertical="top"/>
      <protection locked="0"/>
    </xf>
    <xf numFmtId="17" fontId="3" fillId="11" borderId="1" xfId="0" quotePrefix="1" applyNumberFormat="1" applyFont="1" applyFill="1" applyBorder="1" applyAlignment="1" applyProtection="1">
      <alignment horizontal="center" vertical="top"/>
      <protection locked="0"/>
    </xf>
    <xf numFmtId="17" fontId="3" fillId="12" borderId="1" xfId="0" quotePrefix="1" applyNumberFormat="1" applyFont="1" applyFill="1" applyBorder="1" applyAlignment="1" applyProtection="1">
      <alignment horizontal="center" vertical="top"/>
      <protection locked="0"/>
    </xf>
    <xf numFmtId="17" fontId="3" fillId="4" borderId="1" xfId="0" quotePrefix="1" applyNumberFormat="1" applyFont="1" applyFill="1" applyBorder="1" applyAlignment="1" applyProtection="1">
      <alignment horizontal="center" vertical="top"/>
      <protection locked="0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F5050"/>
      <color rgb="FFF2E7FD"/>
      <color rgb="FFB676F6"/>
      <color rgb="FF3B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2B5B-46A1-4859-9261-718CE0410D56}">
  <sheetPr>
    <pageSetUpPr fitToPage="1"/>
  </sheetPr>
  <dimension ref="A1:EB68"/>
  <sheetViews>
    <sheetView zoomScale="130" zoomScaleNormal="13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F33" sqref="F33"/>
    </sheetView>
  </sheetViews>
  <sheetFormatPr defaultColWidth="8" defaultRowHeight="12" x14ac:dyDescent="0.25"/>
  <cols>
    <col min="1" max="1" width="7.28515625" style="1" bestFit="1" customWidth="1"/>
    <col min="2" max="2" width="37" style="1" bestFit="1" customWidth="1"/>
    <col min="3" max="3" width="16.140625" style="41" bestFit="1" customWidth="1"/>
    <col min="4" max="4" width="14.85546875" style="1" bestFit="1" customWidth="1"/>
    <col min="5" max="5" width="15.140625" style="1" bestFit="1" customWidth="1"/>
    <col min="6" max="6" width="12.5703125" style="1" customWidth="1"/>
    <col min="7" max="7" width="14.85546875" style="1" bestFit="1" customWidth="1"/>
    <col min="8" max="8" width="10" style="1" customWidth="1"/>
    <col min="9" max="9" width="16.140625" style="16" bestFit="1" customWidth="1"/>
    <col min="10" max="10" width="8" style="1"/>
    <col min="11" max="11" width="8" style="1" customWidth="1"/>
    <col min="12" max="12" width="12.140625" style="1" customWidth="1"/>
    <col min="13" max="13" width="11.5703125" style="1" customWidth="1"/>
    <col min="14" max="20" width="8" style="1" customWidth="1"/>
    <col min="21" max="256" width="8" style="1"/>
    <col min="257" max="257" width="5.7109375" style="1" customWidth="1"/>
    <col min="258" max="258" width="25.42578125" style="1" customWidth="1"/>
    <col min="259" max="259" width="14.140625" style="1" bestFit="1" customWidth="1"/>
    <col min="260" max="260" width="12.5703125" style="1" customWidth="1"/>
    <col min="261" max="261" width="14.28515625" style="1" bestFit="1" customWidth="1"/>
    <col min="262" max="262" width="12.5703125" style="1" customWidth="1"/>
    <col min="263" max="263" width="14" style="1" bestFit="1" customWidth="1"/>
    <col min="264" max="264" width="10" style="1" customWidth="1"/>
    <col min="265" max="265" width="14.28515625" style="1" bestFit="1" customWidth="1"/>
    <col min="266" max="266" width="8" style="1"/>
    <col min="267" max="276" width="0" style="1" hidden="1" customWidth="1"/>
    <col min="277" max="512" width="8" style="1"/>
    <col min="513" max="513" width="5.7109375" style="1" customWidth="1"/>
    <col min="514" max="514" width="25.42578125" style="1" customWidth="1"/>
    <col min="515" max="515" width="14.140625" style="1" bestFit="1" customWidth="1"/>
    <col min="516" max="516" width="12.5703125" style="1" customWidth="1"/>
    <col min="517" max="517" width="14.28515625" style="1" bestFit="1" customWidth="1"/>
    <col min="518" max="518" width="12.5703125" style="1" customWidth="1"/>
    <col min="519" max="519" width="14" style="1" bestFit="1" customWidth="1"/>
    <col min="520" max="520" width="10" style="1" customWidth="1"/>
    <col min="521" max="521" width="14.28515625" style="1" bestFit="1" customWidth="1"/>
    <col min="522" max="522" width="8" style="1"/>
    <col min="523" max="532" width="0" style="1" hidden="1" customWidth="1"/>
    <col min="533" max="768" width="8" style="1"/>
    <col min="769" max="769" width="5.7109375" style="1" customWidth="1"/>
    <col min="770" max="770" width="25.42578125" style="1" customWidth="1"/>
    <col min="771" max="771" width="14.140625" style="1" bestFit="1" customWidth="1"/>
    <col min="772" max="772" width="12.5703125" style="1" customWidth="1"/>
    <col min="773" max="773" width="14.28515625" style="1" bestFit="1" customWidth="1"/>
    <col min="774" max="774" width="12.5703125" style="1" customWidth="1"/>
    <col min="775" max="775" width="14" style="1" bestFit="1" customWidth="1"/>
    <col min="776" max="776" width="10" style="1" customWidth="1"/>
    <col min="777" max="777" width="14.28515625" style="1" bestFit="1" customWidth="1"/>
    <col min="778" max="778" width="8" style="1"/>
    <col min="779" max="788" width="0" style="1" hidden="1" customWidth="1"/>
    <col min="789" max="1024" width="8" style="1"/>
    <col min="1025" max="1025" width="5.7109375" style="1" customWidth="1"/>
    <col min="1026" max="1026" width="25.42578125" style="1" customWidth="1"/>
    <col min="1027" max="1027" width="14.140625" style="1" bestFit="1" customWidth="1"/>
    <col min="1028" max="1028" width="12.5703125" style="1" customWidth="1"/>
    <col min="1029" max="1029" width="14.28515625" style="1" bestFit="1" customWidth="1"/>
    <col min="1030" max="1030" width="12.5703125" style="1" customWidth="1"/>
    <col min="1031" max="1031" width="14" style="1" bestFit="1" customWidth="1"/>
    <col min="1032" max="1032" width="10" style="1" customWidth="1"/>
    <col min="1033" max="1033" width="14.28515625" style="1" bestFit="1" customWidth="1"/>
    <col min="1034" max="1034" width="8" style="1"/>
    <col min="1035" max="1044" width="0" style="1" hidden="1" customWidth="1"/>
    <col min="1045" max="1280" width="8" style="1"/>
    <col min="1281" max="1281" width="5.7109375" style="1" customWidth="1"/>
    <col min="1282" max="1282" width="25.42578125" style="1" customWidth="1"/>
    <col min="1283" max="1283" width="14.140625" style="1" bestFit="1" customWidth="1"/>
    <col min="1284" max="1284" width="12.5703125" style="1" customWidth="1"/>
    <col min="1285" max="1285" width="14.28515625" style="1" bestFit="1" customWidth="1"/>
    <col min="1286" max="1286" width="12.5703125" style="1" customWidth="1"/>
    <col min="1287" max="1287" width="14" style="1" bestFit="1" customWidth="1"/>
    <col min="1288" max="1288" width="10" style="1" customWidth="1"/>
    <col min="1289" max="1289" width="14.28515625" style="1" bestFit="1" customWidth="1"/>
    <col min="1290" max="1290" width="8" style="1"/>
    <col min="1291" max="1300" width="0" style="1" hidden="1" customWidth="1"/>
    <col min="1301" max="1536" width="8" style="1"/>
    <col min="1537" max="1537" width="5.7109375" style="1" customWidth="1"/>
    <col min="1538" max="1538" width="25.42578125" style="1" customWidth="1"/>
    <col min="1539" max="1539" width="14.140625" style="1" bestFit="1" customWidth="1"/>
    <col min="1540" max="1540" width="12.5703125" style="1" customWidth="1"/>
    <col min="1541" max="1541" width="14.28515625" style="1" bestFit="1" customWidth="1"/>
    <col min="1542" max="1542" width="12.5703125" style="1" customWidth="1"/>
    <col min="1543" max="1543" width="14" style="1" bestFit="1" customWidth="1"/>
    <col min="1544" max="1544" width="10" style="1" customWidth="1"/>
    <col min="1545" max="1545" width="14.28515625" style="1" bestFit="1" customWidth="1"/>
    <col min="1546" max="1546" width="8" style="1"/>
    <col min="1547" max="1556" width="0" style="1" hidden="1" customWidth="1"/>
    <col min="1557" max="1792" width="8" style="1"/>
    <col min="1793" max="1793" width="5.7109375" style="1" customWidth="1"/>
    <col min="1794" max="1794" width="25.42578125" style="1" customWidth="1"/>
    <col min="1795" max="1795" width="14.140625" style="1" bestFit="1" customWidth="1"/>
    <col min="1796" max="1796" width="12.5703125" style="1" customWidth="1"/>
    <col min="1797" max="1797" width="14.28515625" style="1" bestFit="1" customWidth="1"/>
    <col min="1798" max="1798" width="12.5703125" style="1" customWidth="1"/>
    <col min="1799" max="1799" width="14" style="1" bestFit="1" customWidth="1"/>
    <col min="1800" max="1800" width="10" style="1" customWidth="1"/>
    <col min="1801" max="1801" width="14.28515625" style="1" bestFit="1" customWidth="1"/>
    <col min="1802" max="1802" width="8" style="1"/>
    <col min="1803" max="1812" width="0" style="1" hidden="1" customWidth="1"/>
    <col min="1813" max="2048" width="8" style="1"/>
    <col min="2049" max="2049" width="5.7109375" style="1" customWidth="1"/>
    <col min="2050" max="2050" width="25.42578125" style="1" customWidth="1"/>
    <col min="2051" max="2051" width="14.140625" style="1" bestFit="1" customWidth="1"/>
    <col min="2052" max="2052" width="12.5703125" style="1" customWidth="1"/>
    <col min="2053" max="2053" width="14.28515625" style="1" bestFit="1" customWidth="1"/>
    <col min="2054" max="2054" width="12.5703125" style="1" customWidth="1"/>
    <col min="2055" max="2055" width="14" style="1" bestFit="1" customWidth="1"/>
    <col min="2056" max="2056" width="10" style="1" customWidth="1"/>
    <col min="2057" max="2057" width="14.28515625" style="1" bestFit="1" customWidth="1"/>
    <col min="2058" max="2058" width="8" style="1"/>
    <col min="2059" max="2068" width="0" style="1" hidden="1" customWidth="1"/>
    <col min="2069" max="2304" width="8" style="1"/>
    <col min="2305" max="2305" width="5.7109375" style="1" customWidth="1"/>
    <col min="2306" max="2306" width="25.42578125" style="1" customWidth="1"/>
    <col min="2307" max="2307" width="14.140625" style="1" bestFit="1" customWidth="1"/>
    <col min="2308" max="2308" width="12.5703125" style="1" customWidth="1"/>
    <col min="2309" max="2309" width="14.28515625" style="1" bestFit="1" customWidth="1"/>
    <col min="2310" max="2310" width="12.5703125" style="1" customWidth="1"/>
    <col min="2311" max="2311" width="14" style="1" bestFit="1" customWidth="1"/>
    <col min="2312" max="2312" width="10" style="1" customWidth="1"/>
    <col min="2313" max="2313" width="14.28515625" style="1" bestFit="1" customWidth="1"/>
    <col min="2314" max="2314" width="8" style="1"/>
    <col min="2315" max="2324" width="0" style="1" hidden="1" customWidth="1"/>
    <col min="2325" max="2560" width="8" style="1"/>
    <col min="2561" max="2561" width="5.7109375" style="1" customWidth="1"/>
    <col min="2562" max="2562" width="25.42578125" style="1" customWidth="1"/>
    <col min="2563" max="2563" width="14.140625" style="1" bestFit="1" customWidth="1"/>
    <col min="2564" max="2564" width="12.5703125" style="1" customWidth="1"/>
    <col min="2565" max="2565" width="14.28515625" style="1" bestFit="1" customWidth="1"/>
    <col min="2566" max="2566" width="12.5703125" style="1" customWidth="1"/>
    <col min="2567" max="2567" width="14" style="1" bestFit="1" customWidth="1"/>
    <col min="2568" max="2568" width="10" style="1" customWidth="1"/>
    <col min="2569" max="2569" width="14.28515625" style="1" bestFit="1" customWidth="1"/>
    <col min="2570" max="2570" width="8" style="1"/>
    <col min="2571" max="2580" width="0" style="1" hidden="1" customWidth="1"/>
    <col min="2581" max="2816" width="8" style="1"/>
    <col min="2817" max="2817" width="5.7109375" style="1" customWidth="1"/>
    <col min="2818" max="2818" width="25.42578125" style="1" customWidth="1"/>
    <col min="2819" max="2819" width="14.140625" style="1" bestFit="1" customWidth="1"/>
    <col min="2820" max="2820" width="12.5703125" style="1" customWidth="1"/>
    <col min="2821" max="2821" width="14.28515625" style="1" bestFit="1" customWidth="1"/>
    <col min="2822" max="2822" width="12.5703125" style="1" customWidth="1"/>
    <col min="2823" max="2823" width="14" style="1" bestFit="1" customWidth="1"/>
    <col min="2824" max="2824" width="10" style="1" customWidth="1"/>
    <col min="2825" max="2825" width="14.28515625" style="1" bestFit="1" customWidth="1"/>
    <col min="2826" max="2826" width="8" style="1"/>
    <col min="2827" max="2836" width="0" style="1" hidden="1" customWidth="1"/>
    <col min="2837" max="3072" width="8" style="1"/>
    <col min="3073" max="3073" width="5.7109375" style="1" customWidth="1"/>
    <col min="3074" max="3074" width="25.42578125" style="1" customWidth="1"/>
    <col min="3075" max="3075" width="14.140625" style="1" bestFit="1" customWidth="1"/>
    <col min="3076" max="3076" width="12.5703125" style="1" customWidth="1"/>
    <col min="3077" max="3077" width="14.28515625" style="1" bestFit="1" customWidth="1"/>
    <col min="3078" max="3078" width="12.5703125" style="1" customWidth="1"/>
    <col min="3079" max="3079" width="14" style="1" bestFit="1" customWidth="1"/>
    <col min="3080" max="3080" width="10" style="1" customWidth="1"/>
    <col min="3081" max="3081" width="14.28515625" style="1" bestFit="1" customWidth="1"/>
    <col min="3082" max="3082" width="8" style="1"/>
    <col min="3083" max="3092" width="0" style="1" hidden="1" customWidth="1"/>
    <col min="3093" max="3328" width="8" style="1"/>
    <col min="3329" max="3329" width="5.7109375" style="1" customWidth="1"/>
    <col min="3330" max="3330" width="25.42578125" style="1" customWidth="1"/>
    <col min="3331" max="3331" width="14.140625" style="1" bestFit="1" customWidth="1"/>
    <col min="3332" max="3332" width="12.5703125" style="1" customWidth="1"/>
    <col min="3333" max="3333" width="14.28515625" style="1" bestFit="1" customWidth="1"/>
    <col min="3334" max="3334" width="12.5703125" style="1" customWidth="1"/>
    <col min="3335" max="3335" width="14" style="1" bestFit="1" customWidth="1"/>
    <col min="3336" max="3336" width="10" style="1" customWidth="1"/>
    <col min="3337" max="3337" width="14.28515625" style="1" bestFit="1" customWidth="1"/>
    <col min="3338" max="3338" width="8" style="1"/>
    <col min="3339" max="3348" width="0" style="1" hidden="1" customWidth="1"/>
    <col min="3349" max="3584" width="8" style="1"/>
    <col min="3585" max="3585" width="5.7109375" style="1" customWidth="1"/>
    <col min="3586" max="3586" width="25.42578125" style="1" customWidth="1"/>
    <col min="3587" max="3587" width="14.140625" style="1" bestFit="1" customWidth="1"/>
    <col min="3588" max="3588" width="12.5703125" style="1" customWidth="1"/>
    <col min="3589" max="3589" width="14.28515625" style="1" bestFit="1" customWidth="1"/>
    <col min="3590" max="3590" width="12.5703125" style="1" customWidth="1"/>
    <col min="3591" max="3591" width="14" style="1" bestFit="1" customWidth="1"/>
    <col min="3592" max="3592" width="10" style="1" customWidth="1"/>
    <col min="3593" max="3593" width="14.28515625" style="1" bestFit="1" customWidth="1"/>
    <col min="3594" max="3594" width="8" style="1"/>
    <col min="3595" max="3604" width="0" style="1" hidden="1" customWidth="1"/>
    <col min="3605" max="3840" width="8" style="1"/>
    <col min="3841" max="3841" width="5.7109375" style="1" customWidth="1"/>
    <col min="3842" max="3842" width="25.42578125" style="1" customWidth="1"/>
    <col min="3843" max="3843" width="14.140625" style="1" bestFit="1" customWidth="1"/>
    <col min="3844" max="3844" width="12.5703125" style="1" customWidth="1"/>
    <col min="3845" max="3845" width="14.28515625" style="1" bestFit="1" customWidth="1"/>
    <col min="3846" max="3846" width="12.5703125" style="1" customWidth="1"/>
    <col min="3847" max="3847" width="14" style="1" bestFit="1" customWidth="1"/>
    <col min="3848" max="3848" width="10" style="1" customWidth="1"/>
    <col min="3849" max="3849" width="14.28515625" style="1" bestFit="1" customWidth="1"/>
    <col min="3850" max="3850" width="8" style="1"/>
    <col min="3851" max="3860" width="0" style="1" hidden="1" customWidth="1"/>
    <col min="3861" max="4096" width="8" style="1"/>
    <col min="4097" max="4097" width="5.7109375" style="1" customWidth="1"/>
    <col min="4098" max="4098" width="25.42578125" style="1" customWidth="1"/>
    <col min="4099" max="4099" width="14.140625" style="1" bestFit="1" customWidth="1"/>
    <col min="4100" max="4100" width="12.5703125" style="1" customWidth="1"/>
    <col min="4101" max="4101" width="14.28515625" style="1" bestFit="1" customWidth="1"/>
    <col min="4102" max="4102" width="12.5703125" style="1" customWidth="1"/>
    <col min="4103" max="4103" width="14" style="1" bestFit="1" customWidth="1"/>
    <col min="4104" max="4104" width="10" style="1" customWidth="1"/>
    <col min="4105" max="4105" width="14.28515625" style="1" bestFit="1" customWidth="1"/>
    <col min="4106" max="4106" width="8" style="1"/>
    <col min="4107" max="4116" width="0" style="1" hidden="1" customWidth="1"/>
    <col min="4117" max="4352" width="8" style="1"/>
    <col min="4353" max="4353" width="5.7109375" style="1" customWidth="1"/>
    <col min="4354" max="4354" width="25.42578125" style="1" customWidth="1"/>
    <col min="4355" max="4355" width="14.140625" style="1" bestFit="1" customWidth="1"/>
    <col min="4356" max="4356" width="12.5703125" style="1" customWidth="1"/>
    <col min="4357" max="4357" width="14.28515625" style="1" bestFit="1" customWidth="1"/>
    <col min="4358" max="4358" width="12.5703125" style="1" customWidth="1"/>
    <col min="4359" max="4359" width="14" style="1" bestFit="1" customWidth="1"/>
    <col min="4360" max="4360" width="10" style="1" customWidth="1"/>
    <col min="4361" max="4361" width="14.28515625" style="1" bestFit="1" customWidth="1"/>
    <col min="4362" max="4362" width="8" style="1"/>
    <col min="4363" max="4372" width="0" style="1" hidden="1" customWidth="1"/>
    <col min="4373" max="4608" width="8" style="1"/>
    <col min="4609" max="4609" width="5.7109375" style="1" customWidth="1"/>
    <col min="4610" max="4610" width="25.42578125" style="1" customWidth="1"/>
    <col min="4611" max="4611" width="14.140625" style="1" bestFit="1" customWidth="1"/>
    <col min="4612" max="4612" width="12.5703125" style="1" customWidth="1"/>
    <col min="4613" max="4613" width="14.28515625" style="1" bestFit="1" customWidth="1"/>
    <col min="4614" max="4614" width="12.5703125" style="1" customWidth="1"/>
    <col min="4615" max="4615" width="14" style="1" bestFit="1" customWidth="1"/>
    <col min="4616" max="4616" width="10" style="1" customWidth="1"/>
    <col min="4617" max="4617" width="14.28515625" style="1" bestFit="1" customWidth="1"/>
    <col min="4618" max="4618" width="8" style="1"/>
    <col min="4619" max="4628" width="0" style="1" hidden="1" customWidth="1"/>
    <col min="4629" max="4864" width="8" style="1"/>
    <col min="4865" max="4865" width="5.7109375" style="1" customWidth="1"/>
    <col min="4866" max="4866" width="25.42578125" style="1" customWidth="1"/>
    <col min="4867" max="4867" width="14.140625" style="1" bestFit="1" customWidth="1"/>
    <col min="4868" max="4868" width="12.5703125" style="1" customWidth="1"/>
    <col min="4869" max="4869" width="14.28515625" style="1" bestFit="1" customWidth="1"/>
    <col min="4870" max="4870" width="12.5703125" style="1" customWidth="1"/>
    <col min="4871" max="4871" width="14" style="1" bestFit="1" customWidth="1"/>
    <col min="4872" max="4872" width="10" style="1" customWidth="1"/>
    <col min="4873" max="4873" width="14.28515625" style="1" bestFit="1" customWidth="1"/>
    <col min="4874" max="4874" width="8" style="1"/>
    <col min="4875" max="4884" width="0" style="1" hidden="1" customWidth="1"/>
    <col min="4885" max="5120" width="8" style="1"/>
    <col min="5121" max="5121" width="5.7109375" style="1" customWidth="1"/>
    <col min="5122" max="5122" width="25.42578125" style="1" customWidth="1"/>
    <col min="5123" max="5123" width="14.140625" style="1" bestFit="1" customWidth="1"/>
    <col min="5124" max="5124" width="12.5703125" style="1" customWidth="1"/>
    <col min="5125" max="5125" width="14.28515625" style="1" bestFit="1" customWidth="1"/>
    <col min="5126" max="5126" width="12.5703125" style="1" customWidth="1"/>
    <col min="5127" max="5127" width="14" style="1" bestFit="1" customWidth="1"/>
    <col min="5128" max="5128" width="10" style="1" customWidth="1"/>
    <col min="5129" max="5129" width="14.28515625" style="1" bestFit="1" customWidth="1"/>
    <col min="5130" max="5130" width="8" style="1"/>
    <col min="5131" max="5140" width="0" style="1" hidden="1" customWidth="1"/>
    <col min="5141" max="5376" width="8" style="1"/>
    <col min="5377" max="5377" width="5.7109375" style="1" customWidth="1"/>
    <col min="5378" max="5378" width="25.42578125" style="1" customWidth="1"/>
    <col min="5379" max="5379" width="14.140625" style="1" bestFit="1" customWidth="1"/>
    <col min="5380" max="5380" width="12.5703125" style="1" customWidth="1"/>
    <col min="5381" max="5381" width="14.28515625" style="1" bestFit="1" customWidth="1"/>
    <col min="5382" max="5382" width="12.5703125" style="1" customWidth="1"/>
    <col min="5383" max="5383" width="14" style="1" bestFit="1" customWidth="1"/>
    <col min="5384" max="5384" width="10" style="1" customWidth="1"/>
    <col min="5385" max="5385" width="14.28515625" style="1" bestFit="1" customWidth="1"/>
    <col min="5386" max="5386" width="8" style="1"/>
    <col min="5387" max="5396" width="0" style="1" hidden="1" customWidth="1"/>
    <col min="5397" max="5632" width="8" style="1"/>
    <col min="5633" max="5633" width="5.7109375" style="1" customWidth="1"/>
    <col min="5634" max="5634" width="25.42578125" style="1" customWidth="1"/>
    <col min="5635" max="5635" width="14.140625" style="1" bestFit="1" customWidth="1"/>
    <col min="5636" max="5636" width="12.5703125" style="1" customWidth="1"/>
    <col min="5637" max="5637" width="14.28515625" style="1" bestFit="1" customWidth="1"/>
    <col min="5638" max="5638" width="12.5703125" style="1" customWidth="1"/>
    <col min="5639" max="5639" width="14" style="1" bestFit="1" customWidth="1"/>
    <col min="5640" max="5640" width="10" style="1" customWidth="1"/>
    <col min="5641" max="5641" width="14.28515625" style="1" bestFit="1" customWidth="1"/>
    <col min="5642" max="5642" width="8" style="1"/>
    <col min="5643" max="5652" width="0" style="1" hidden="1" customWidth="1"/>
    <col min="5653" max="5888" width="8" style="1"/>
    <col min="5889" max="5889" width="5.7109375" style="1" customWidth="1"/>
    <col min="5890" max="5890" width="25.42578125" style="1" customWidth="1"/>
    <col min="5891" max="5891" width="14.140625" style="1" bestFit="1" customWidth="1"/>
    <col min="5892" max="5892" width="12.5703125" style="1" customWidth="1"/>
    <col min="5893" max="5893" width="14.28515625" style="1" bestFit="1" customWidth="1"/>
    <col min="5894" max="5894" width="12.5703125" style="1" customWidth="1"/>
    <col min="5895" max="5895" width="14" style="1" bestFit="1" customWidth="1"/>
    <col min="5896" max="5896" width="10" style="1" customWidth="1"/>
    <col min="5897" max="5897" width="14.28515625" style="1" bestFit="1" customWidth="1"/>
    <col min="5898" max="5898" width="8" style="1"/>
    <col min="5899" max="5908" width="0" style="1" hidden="1" customWidth="1"/>
    <col min="5909" max="6144" width="8" style="1"/>
    <col min="6145" max="6145" width="5.7109375" style="1" customWidth="1"/>
    <col min="6146" max="6146" width="25.42578125" style="1" customWidth="1"/>
    <col min="6147" max="6147" width="14.140625" style="1" bestFit="1" customWidth="1"/>
    <col min="6148" max="6148" width="12.5703125" style="1" customWidth="1"/>
    <col min="6149" max="6149" width="14.28515625" style="1" bestFit="1" customWidth="1"/>
    <col min="6150" max="6150" width="12.5703125" style="1" customWidth="1"/>
    <col min="6151" max="6151" width="14" style="1" bestFit="1" customWidth="1"/>
    <col min="6152" max="6152" width="10" style="1" customWidth="1"/>
    <col min="6153" max="6153" width="14.28515625" style="1" bestFit="1" customWidth="1"/>
    <col min="6154" max="6154" width="8" style="1"/>
    <col min="6155" max="6164" width="0" style="1" hidden="1" customWidth="1"/>
    <col min="6165" max="6400" width="8" style="1"/>
    <col min="6401" max="6401" width="5.7109375" style="1" customWidth="1"/>
    <col min="6402" max="6402" width="25.42578125" style="1" customWidth="1"/>
    <col min="6403" max="6403" width="14.140625" style="1" bestFit="1" customWidth="1"/>
    <col min="6404" max="6404" width="12.5703125" style="1" customWidth="1"/>
    <col min="6405" max="6405" width="14.28515625" style="1" bestFit="1" customWidth="1"/>
    <col min="6406" max="6406" width="12.5703125" style="1" customWidth="1"/>
    <col min="6407" max="6407" width="14" style="1" bestFit="1" customWidth="1"/>
    <col min="6408" max="6408" width="10" style="1" customWidth="1"/>
    <col min="6409" max="6409" width="14.28515625" style="1" bestFit="1" customWidth="1"/>
    <col min="6410" max="6410" width="8" style="1"/>
    <col min="6411" max="6420" width="0" style="1" hidden="1" customWidth="1"/>
    <col min="6421" max="6656" width="8" style="1"/>
    <col min="6657" max="6657" width="5.7109375" style="1" customWidth="1"/>
    <col min="6658" max="6658" width="25.42578125" style="1" customWidth="1"/>
    <col min="6659" max="6659" width="14.140625" style="1" bestFit="1" customWidth="1"/>
    <col min="6660" max="6660" width="12.5703125" style="1" customWidth="1"/>
    <col min="6661" max="6661" width="14.28515625" style="1" bestFit="1" customWidth="1"/>
    <col min="6662" max="6662" width="12.5703125" style="1" customWidth="1"/>
    <col min="6663" max="6663" width="14" style="1" bestFit="1" customWidth="1"/>
    <col min="6664" max="6664" width="10" style="1" customWidth="1"/>
    <col min="6665" max="6665" width="14.28515625" style="1" bestFit="1" customWidth="1"/>
    <col min="6666" max="6666" width="8" style="1"/>
    <col min="6667" max="6676" width="0" style="1" hidden="1" customWidth="1"/>
    <col min="6677" max="6912" width="8" style="1"/>
    <col min="6913" max="6913" width="5.7109375" style="1" customWidth="1"/>
    <col min="6914" max="6914" width="25.42578125" style="1" customWidth="1"/>
    <col min="6915" max="6915" width="14.140625" style="1" bestFit="1" customWidth="1"/>
    <col min="6916" max="6916" width="12.5703125" style="1" customWidth="1"/>
    <col min="6917" max="6917" width="14.28515625" style="1" bestFit="1" customWidth="1"/>
    <col min="6918" max="6918" width="12.5703125" style="1" customWidth="1"/>
    <col min="6919" max="6919" width="14" style="1" bestFit="1" customWidth="1"/>
    <col min="6920" max="6920" width="10" style="1" customWidth="1"/>
    <col min="6921" max="6921" width="14.28515625" style="1" bestFit="1" customWidth="1"/>
    <col min="6922" max="6922" width="8" style="1"/>
    <col min="6923" max="6932" width="0" style="1" hidden="1" customWidth="1"/>
    <col min="6933" max="7168" width="8" style="1"/>
    <col min="7169" max="7169" width="5.7109375" style="1" customWidth="1"/>
    <col min="7170" max="7170" width="25.42578125" style="1" customWidth="1"/>
    <col min="7171" max="7171" width="14.140625" style="1" bestFit="1" customWidth="1"/>
    <col min="7172" max="7172" width="12.5703125" style="1" customWidth="1"/>
    <col min="7173" max="7173" width="14.28515625" style="1" bestFit="1" customWidth="1"/>
    <col min="7174" max="7174" width="12.5703125" style="1" customWidth="1"/>
    <col min="7175" max="7175" width="14" style="1" bestFit="1" customWidth="1"/>
    <col min="7176" max="7176" width="10" style="1" customWidth="1"/>
    <col min="7177" max="7177" width="14.28515625" style="1" bestFit="1" customWidth="1"/>
    <col min="7178" max="7178" width="8" style="1"/>
    <col min="7179" max="7188" width="0" style="1" hidden="1" customWidth="1"/>
    <col min="7189" max="7424" width="8" style="1"/>
    <col min="7425" max="7425" width="5.7109375" style="1" customWidth="1"/>
    <col min="7426" max="7426" width="25.42578125" style="1" customWidth="1"/>
    <col min="7427" max="7427" width="14.140625" style="1" bestFit="1" customWidth="1"/>
    <col min="7428" max="7428" width="12.5703125" style="1" customWidth="1"/>
    <col min="7429" max="7429" width="14.28515625" style="1" bestFit="1" customWidth="1"/>
    <col min="7430" max="7430" width="12.5703125" style="1" customWidth="1"/>
    <col min="7431" max="7431" width="14" style="1" bestFit="1" customWidth="1"/>
    <col min="7432" max="7432" width="10" style="1" customWidth="1"/>
    <col min="7433" max="7433" width="14.28515625" style="1" bestFit="1" customWidth="1"/>
    <col min="7434" max="7434" width="8" style="1"/>
    <col min="7435" max="7444" width="0" style="1" hidden="1" customWidth="1"/>
    <col min="7445" max="7680" width="8" style="1"/>
    <col min="7681" max="7681" width="5.7109375" style="1" customWidth="1"/>
    <col min="7682" max="7682" width="25.42578125" style="1" customWidth="1"/>
    <col min="7683" max="7683" width="14.140625" style="1" bestFit="1" customWidth="1"/>
    <col min="7684" max="7684" width="12.5703125" style="1" customWidth="1"/>
    <col min="7685" max="7685" width="14.28515625" style="1" bestFit="1" customWidth="1"/>
    <col min="7686" max="7686" width="12.5703125" style="1" customWidth="1"/>
    <col min="7687" max="7687" width="14" style="1" bestFit="1" customWidth="1"/>
    <col min="7688" max="7688" width="10" style="1" customWidth="1"/>
    <col min="7689" max="7689" width="14.28515625" style="1" bestFit="1" customWidth="1"/>
    <col min="7690" max="7690" width="8" style="1"/>
    <col min="7691" max="7700" width="0" style="1" hidden="1" customWidth="1"/>
    <col min="7701" max="7936" width="8" style="1"/>
    <col min="7937" max="7937" width="5.7109375" style="1" customWidth="1"/>
    <col min="7938" max="7938" width="25.42578125" style="1" customWidth="1"/>
    <col min="7939" max="7939" width="14.140625" style="1" bestFit="1" customWidth="1"/>
    <col min="7940" max="7940" width="12.5703125" style="1" customWidth="1"/>
    <col min="7941" max="7941" width="14.28515625" style="1" bestFit="1" customWidth="1"/>
    <col min="7942" max="7942" width="12.5703125" style="1" customWidth="1"/>
    <col min="7943" max="7943" width="14" style="1" bestFit="1" customWidth="1"/>
    <col min="7944" max="7944" width="10" style="1" customWidth="1"/>
    <col min="7945" max="7945" width="14.28515625" style="1" bestFit="1" customWidth="1"/>
    <col min="7946" max="7946" width="8" style="1"/>
    <col min="7947" max="7956" width="0" style="1" hidden="1" customWidth="1"/>
    <col min="7957" max="8192" width="8" style="1"/>
    <col min="8193" max="8193" width="5.7109375" style="1" customWidth="1"/>
    <col min="8194" max="8194" width="25.42578125" style="1" customWidth="1"/>
    <col min="8195" max="8195" width="14.140625" style="1" bestFit="1" customWidth="1"/>
    <col min="8196" max="8196" width="12.5703125" style="1" customWidth="1"/>
    <col min="8197" max="8197" width="14.28515625" style="1" bestFit="1" customWidth="1"/>
    <col min="8198" max="8198" width="12.5703125" style="1" customWidth="1"/>
    <col min="8199" max="8199" width="14" style="1" bestFit="1" customWidth="1"/>
    <col min="8200" max="8200" width="10" style="1" customWidth="1"/>
    <col min="8201" max="8201" width="14.28515625" style="1" bestFit="1" customWidth="1"/>
    <col min="8202" max="8202" width="8" style="1"/>
    <col min="8203" max="8212" width="0" style="1" hidden="1" customWidth="1"/>
    <col min="8213" max="8448" width="8" style="1"/>
    <col min="8449" max="8449" width="5.7109375" style="1" customWidth="1"/>
    <col min="8450" max="8450" width="25.42578125" style="1" customWidth="1"/>
    <col min="8451" max="8451" width="14.140625" style="1" bestFit="1" customWidth="1"/>
    <col min="8452" max="8452" width="12.5703125" style="1" customWidth="1"/>
    <col min="8453" max="8453" width="14.28515625" style="1" bestFit="1" customWidth="1"/>
    <col min="8454" max="8454" width="12.5703125" style="1" customWidth="1"/>
    <col min="8455" max="8455" width="14" style="1" bestFit="1" customWidth="1"/>
    <col min="8456" max="8456" width="10" style="1" customWidth="1"/>
    <col min="8457" max="8457" width="14.28515625" style="1" bestFit="1" customWidth="1"/>
    <col min="8458" max="8458" width="8" style="1"/>
    <col min="8459" max="8468" width="0" style="1" hidden="1" customWidth="1"/>
    <col min="8469" max="8704" width="8" style="1"/>
    <col min="8705" max="8705" width="5.7109375" style="1" customWidth="1"/>
    <col min="8706" max="8706" width="25.42578125" style="1" customWidth="1"/>
    <col min="8707" max="8707" width="14.140625" style="1" bestFit="1" customWidth="1"/>
    <col min="8708" max="8708" width="12.5703125" style="1" customWidth="1"/>
    <col min="8709" max="8709" width="14.28515625" style="1" bestFit="1" customWidth="1"/>
    <col min="8710" max="8710" width="12.5703125" style="1" customWidth="1"/>
    <col min="8711" max="8711" width="14" style="1" bestFit="1" customWidth="1"/>
    <col min="8712" max="8712" width="10" style="1" customWidth="1"/>
    <col min="8713" max="8713" width="14.28515625" style="1" bestFit="1" customWidth="1"/>
    <col min="8714" max="8714" width="8" style="1"/>
    <col min="8715" max="8724" width="0" style="1" hidden="1" customWidth="1"/>
    <col min="8725" max="8960" width="8" style="1"/>
    <col min="8961" max="8961" width="5.7109375" style="1" customWidth="1"/>
    <col min="8962" max="8962" width="25.42578125" style="1" customWidth="1"/>
    <col min="8963" max="8963" width="14.140625" style="1" bestFit="1" customWidth="1"/>
    <col min="8964" max="8964" width="12.5703125" style="1" customWidth="1"/>
    <col min="8965" max="8965" width="14.28515625" style="1" bestFit="1" customWidth="1"/>
    <col min="8966" max="8966" width="12.5703125" style="1" customWidth="1"/>
    <col min="8967" max="8967" width="14" style="1" bestFit="1" customWidth="1"/>
    <col min="8968" max="8968" width="10" style="1" customWidth="1"/>
    <col min="8969" max="8969" width="14.28515625" style="1" bestFit="1" customWidth="1"/>
    <col min="8970" max="8970" width="8" style="1"/>
    <col min="8971" max="8980" width="0" style="1" hidden="1" customWidth="1"/>
    <col min="8981" max="9216" width="8" style="1"/>
    <col min="9217" max="9217" width="5.7109375" style="1" customWidth="1"/>
    <col min="9218" max="9218" width="25.42578125" style="1" customWidth="1"/>
    <col min="9219" max="9219" width="14.140625" style="1" bestFit="1" customWidth="1"/>
    <col min="9220" max="9220" width="12.5703125" style="1" customWidth="1"/>
    <col min="9221" max="9221" width="14.28515625" style="1" bestFit="1" customWidth="1"/>
    <col min="9222" max="9222" width="12.5703125" style="1" customWidth="1"/>
    <col min="9223" max="9223" width="14" style="1" bestFit="1" customWidth="1"/>
    <col min="9224" max="9224" width="10" style="1" customWidth="1"/>
    <col min="9225" max="9225" width="14.28515625" style="1" bestFit="1" customWidth="1"/>
    <col min="9226" max="9226" width="8" style="1"/>
    <col min="9227" max="9236" width="0" style="1" hidden="1" customWidth="1"/>
    <col min="9237" max="9472" width="8" style="1"/>
    <col min="9473" max="9473" width="5.7109375" style="1" customWidth="1"/>
    <col min="9474" max="9474" width="25.42578125" style="1" customWidth="1"/>
    <col min="9475" max="9475" width="14.140625" style="1" bestFit="1" customWidth="1"/>
    <col min="9476" max="9476" width="12.5703125" style="1" customWidth="1"/>
    <col min="9477" max="9477" width="14.28515625" style="1" bestFit="1" customWidth="1"/>
    <col min="9478" max="9478" width="12.5703125" style="1" customWidth="1"/>
    <col min="9479" max="9479" width="14" style="1" bestFit="1" customWidth="1"/>
    <col min="9480" max="9480" width="10" style="1" customWidth="1"/>
    <col min="9481" max="9481" width="14.28515625" style="1" bestFit="1" customWidth="1"/>
    <col min="9482" max="9482" width="8" style="1"/>
    <col min="9483" max="9492" width="0" style="1" hidden="1" customWidth="1"/>
    <col min="9493" max="9728" width="8" style="1"/>
    <col min="9729" max="9729" width="5.7109375" style="1" customWidth="1"/>
    <col min="9730" max="9730" width="25.42578125" style="1" customWidth="1"/>
    <col min="9731" max="9731" width="14.140625" style="1" bestFit="1" customWidth="1"/>
    <col min="9732" max="9732" width="12.5703125" style="1" customWidth="1"/>
    <col min="9733" max="9733" width="14.28515625" style="1" bestFit="1" customWidth="1"/>
    <col min="9734" max="9734" width="12.5703125" style="1" customWidth="1"/>
    <col min="9735" max="9735" width="14" style="1" bestFit="1" customWidth="1"/>
    <col min="9736" max="9736" width="10" style="1" customWidth="1"/>
    <col min="9737" max="9737" width="14.28515625" style="1" bestFit="1" customWidth="1"/>
    <col min="9738" max="9738" width="8" style="1"/>
    <col min="9739" max="9748" width="0" style="1" hidden="1" customWidth="1"/>
    <col min="9749" max="9984" width="8" style="1"/>
    <col min="9985" max="9985" width="5.7109375" style="1" customWidth="1"/>
    <col min="9986" max="9986" width="25.42578125" style="1" customWidth="1"/>
    <col min="9987" max="9987" width="14.140625" style="1" bestFit="1" customWidth="1"/>
    <col min="9988" max="9988" width="12.5703125" style="1" customWidth="1"/>
    <col min="9989" max="9989" width="14.28515625" style="1" bestFit="1" customWidth="1"/>
    <col min="9990" max="9990" width="12.5703125" style="1" customWidth="1"/>
    <col min="9991" max="9991" width="14" style="1" bestFit="1" customWidth="1"/>
    <col min="9992" max="9992" width="10" style="1" customWidth="1"/>
    <col min="9993" max="9993" width="14.28515625" style="1" bestFit="1" customWidth="1"/>
    <col min="9994" max="9994" width="8" style="1"/>
    <col min="9995" max="10004" width="0" style="1" hidden="1" customWidth="1"/>
    <col min="10005" max="10240" width="8" style="1"/>
    <col min="10241" max="10241" width="5.7109375" style="1" customWidth="1"/>
    <col min="10242" max="10242" width="25.42578125" style="1" customWidth="1"/>
    <col min="10243" max="10243" width="14.140625" style="1" bestFit="1" customWidth="1"/>
    <col min="10244" max="10244" width="12.5703125" style="1" customWidth="1"/>
    <col min="10245" max="10245" width="14.28515625" style="1" bestFit="1" customWidth="1"/>
    <col min="10246" max="10246" width="12.5703125" style="1" customWidth="1"/>
    <col min="10247" max="10247" width="14" style="1" bestFit="1" customWidth="1"/>
    <col min="10248" max="10248" width="10" style="1" customWidth="1"/>
    <col min="10249" max="10249" width="14.28515625" style="1" bestFit="1" customWidth="1"/>
    <col min="10250" max="10250" width="8" style="1"/>
    <col min="10251" max="10260" width="0" style="1" hidden="1" customWidth="1"/>
    <col min="10261" max="10496" width="8" style="1"/>
    <col min="10497" max="10497" width="5.7109375" style="1" customWidth="1"/>
    <col min="10498" max="10498" width="25.42578125" style="1" customWidth="1"/>
    <col min="10499" max="10499" width="14.140625" style="1" bestFit="1" customWidth="1"/>
    <col min="10500" max="10500" width="12.5703125" style="1" customWidth="1"/>
    <col min="10501" max="10501" width="14.28515625" style="1" bestFit="1" customWidth="1"/>
    <col min="10502" max="10502" width="12.5703125" style="1" customWidth="1"/>
    <col min="10503" max="10503" width="14" style="1" bestFit="1" customWidth="1"/>
    <col min="10504" max="10504" width="10" style="1" customWidth="1"/>
    <col min="10505" max="10505" width="14.28515625" style="1" bestFit="1" customWidth="1"/>
    <col min="10506" max="10506" width="8" style="1"/>
    <col min="10507" max="10516" width="0" style="1" hidden="1" customWidth="1"/>
    <col min="10517" max="10752" width="8" style="1"/>
    <col min="10753" max="10753" width="5.7109375" style="1" customWidth="1"/>
    <col min="10754" max="10754" width="25.42578125" style="1" customWidth="1"/>
    <col min="10755" max="10755" width="14.140625" style="1" bestFit="1" customWidth="1"/>
    <col min="10756" max="10756" width="12.5703125" style="1" customWidth="1"/>
    <col min="10757" max="10757" width="14.28515625" style="1" bestFit="1" customWidth="1"/>
    <col min="10758" max="10758" width="12.5703125" style="1" customWidth="1"/>
    <col min="10759" max="10759" width="14" style="1" bestFit="1" customWidth="1"/>
    <col min="10760" max="10760" width="10" style="1" customWidth="1"/>
    <col min="10761" max="10761" width="14.28515625" style="1" bestFit="1" customWidth="1"/>
    <col min="10762" max="10762" width="8" style="1"/>
    <col min="10763" max="10772" width="0" style="1" hidden="1" customWidth="1"/>
    <col min="10773" max="11008" width="8" style="1"/>
    <col min="11009" max="11009" width="5.7109375" style="1" customWidth="1"/>
    <col min="11010" max="11010" width="25.42578125" style="1" customWidth="1"/>
    <col min="11011" max="11011" width="14.140625" style="1" bestFit="1" customWidth="1"/>
    <col min="11012" max="11012" width="12.5703125" style="1" customWidth="1"/>
    <col min="11013" max="11013" width="14.28515625" style="1" bestFit="1" customWidth="1"/>
    <col min="11014" max="11014" width="12.5703125" style="1" customWidth="1"/>
    <col min="11015" max="11015" width="14" style="1" bestFit="1" customWidth="1"/>
    <col min="11016" max="11016" width="10" style="1" customWidth="1"/>
    <col min="11017" max="11017" width="14.28515625" style="1" bestFit="1" customWidth="1"/>
    <col min="11018" max="11018" width="8" style="1"/>
    <col min="11019" max="11028" width="0" style="1" hidden="1" customWidth="1"/>
    <col min="11029" max="11264" width="8" style="1"/>
    <col min="11265" max="11265" width="5.7109375" style="1" customWidth="1"/>
    <col min="11266" max="11266" width="25.42578125" style="1" customWidth="1"/>
    <col min="11267" max="11267" width="14.140625" style="1" bestFit="1" customWidth="1"/>
    <col min="11268" max="11268" width="12.5703125" style="1" customWidth="1"/>
    <col min="11269" max="11269" width="14.28515625" style="1" bestFit="1" customWidth="1"/>
    <col min="11270" max="11270" width="12.5703125" style="1" customWidth="1"/>
    <col min="11271" max="11271" width="14" style="1" bestFit="1" customWidth="1"/>
    <col min="11272" max="11272" width="10" style="1" customWidth="1"/>
    <col min="11273" max="11273" width="14.28515625" style="1" bestFit="1" customWidth="1"/>
    <col min="11274" max="11274" width="8" style="1"/>
    <col min="11275" max="11284" width="0" style="1" hidden="1" customWidth="1"/>
    <col min="11285" max="11520" width="8" style="1"/>
    <col min="11521" max="11521" width="5.7109375" style="1" customWidth="1"/>
    <col min="11522" max="11522" width="25.42578125" style="1" customWidth="1"/>
    <col min="11523" max="11523" width="14.140625" style="1" bestFit="1" customWidth="1"/>
    <col min="11524" max="11524" width="12.5703125" style="1" customWidth="1"/>
    <col min="11525" max="11525" width="14.28515625" style="1" bestFit="1" customWidth="1"/>
    <col min="11526" max="11526" width="12.5703125" style="1" customWidth="1"/>
    <col min="11527" max="11527" width="14" style="1" bestFit="1" customWidth="1"/>
    <col min="11528" max="11528" width="10" style="1" customWidth="1"/>
    <col min="11529" max="11529" width="14.28515625" style="1" bestFit="1" customWidth="1"/>
    <col min="11530" max="11530" width="8" style="1"/>
    <col min="11531" max="11540" width="0" style="1" hidden="1" customWidth="1"/>
    <col min="11541" max="11776" width="8" style="1"/>
    <col min="11777" max="11777" width="5.7109375" style="1" customWidth="1"/>
    <col min="11778" max="11778" width="25.42578125" style="1" customWidth="1"/>
    <col min="11779" max="11779" width="14.140625" style="1" bestFit="1" customWidth="1"/>
    <col min="11780" max="11780" width="12.5703125" style="1" customWidth="1"/>
    <col min="11781" max="11781" width="14.28515625" style="1" bestFit="1" customWidth="1"/>
    <col min="11782" max="11782" width="12.5703125" style="1" customWidth="1"/>
    <col min="11783" max="11783" width="14" style="1" bestFit="1" customWidth="1"/>
    <col min="11784" max="11784" width="10" style="1" customWidth="1"/>
    <col min="11785" max="11785" width="14.28515625" style="1" bestFit="1" customWidth="1"/>
    <col min="11786" max="11786" width="8" style="1"/>
    <col min="11787" max="11796" width="0" style="1" hidden="1" customWidth="1"/>
    <col min="11797" max="12032" width="8" style="1"/>
    <col min="12033" max="12033" width="5.7109375" style="1" customWidth="1"/>
    <col min="12034" max="12034" width="25.42578125" style="1" customWidth="1"/>
    <col min="12035" max="12035" width="14.140625" style="1" bestFit="1" customWidth="1"/>
    <col min="12036" max="12036" width="12.5703125" style="1" customWidth="1"/>
    <col min="12037" max="12037" width="14.28515625" style="1" bestFit="1" customWidth="1"/>
    <col min="12038" max="12038" width="12.5703125" style="1" customWidth="1"/>
    <col min="12039" max="12039" width="14" style="1" bestFit="1" customWidth="1"/>
    <col min="12040" max="12040" width="10" style="1" customWidth="1"/>
    <col min="12041" max="12041" width="14.28515625" style="1" bestFit="1" customWidth="1"/>
    <col min="12042" max="12042" width="8" style="1"/>
    <col min="12043" max="12052" width="0" style="1" hidden="1" customWidth="1"/>
    <col min="12053" max="12288" width="8" style="1"/>
    <col min="12289" max="12289" width="5.7109375" style="1" customWidth="1"/>
    <col min="12290" max="12290" width="25.42578125" style="1" customWidth="1"/>
    <col min="12291" max="12291" width="14.140625" style="1" bestFit="1" customWidth="1"/>
    <col min="12292" max="12292" width="12.5703125" style="1" customWidth="1"/>
    <col min="12293" max="12293" width="14.28515625" style="1" bestFit="1" customWidth="1"/>
    <col min="12294" max="12294" width="12.5703125" style="1" customWidth="1"/>
    <col min="12295" max="12295" width="14" style="1" bestFit="1" customWidth="1"/>
    <col min="12296" max="12296" width="10" style="1" customWidth="1"/>
    <col min="12297" max="12297" width="14.28515625" style="1" bestFit="1" customWidth="1"/>
    <col min="12298" max="12298" width="8" style="1"/>
    <col min="12299" max="12308" width="0" style="1" hidden="1" customWidth="1"/>
    <col min="12309" max="12544" width="8" style="1"/>
    <col min="12545" max="12545" width="5.7109375" style="1" customWidth="1"/>
    <col min="12546" max="12546" width="25.42578125" style="1" customWidth="1"/>
    <col min="12547" max="12547" width="14.140625" style="1" bestFit="1" customWidth="1"/>
    <col min="12548" max="12548" width="12.5703125" style="1" customWidth="1"/>
    <col min="12549" max="12549" width="14.28515625" style="1" bestFit="1" customWidth="1"/>
    <col min="12550" max="12550" width="12.5703125" style="1" customWidth="1"/>
    <col min="12551" max="12551" width="14" style="1" bestFit="1" customWidth="1"/>
    <col min="12552" max="12552" width="10" style="1" customWidth="1"/>
    <col min="12553" max="12553" width="14.28515625" style="1" bestFit="1" customWidth="1"/>
    <col min="12554" max="12554" width="8" style="1"/>
    <col min="12555" max="12564" width="0" style="1" hidden="1" customWidth="1"/>
    <col min="12565" max="12800" width="8" style="1"/>
    <col min="12801" max="12801" width="5.7109375" style="1" customWidth="1"/>
    <col min="12802" max="12802" width="25.42578125" style="1" customWidth="1"/>
    <col min="12803" max="12803" width="14.140625" style="1" bestFit="1" customWidth="1"/>
    <col min="12804" max="12804" width="12.5703125" style="1" customWidth="1"/>
    <col min="12805" max="12805" width="14.28515625" style="1" bestFit="1" customWidth="1"/>
    <col min="12806" max="12806" width="12.5703125" style="1" customWidth="1"/>
    <col min="12807" max="12807" width="14" style="1" bestFit="1" customWidth="1"/>
    <col min="12808" max="12808" width="10" style="1" customWidth="1"/>
    <col min="12809" max="12809" width="14.28515625" style="1" bestFit="1" customWidth="1"/>
    <col min="12810" max="12810" width="8" style="1"/>
    <col min="12811" max="12820" width="0" style="1" hidden="1" customWidth="1"/>
    <col min="12821" max="13056" width="8" style="1"/>
    <col min="13057" max="13057" width="5.7109375" style="1" customWidth="1"/>
    <col min="13058" max="13058" width="25.42578125" style="1" customWidth="1"/>
    <col min="13059" max="13059" width="14.140625" style="1" bestFit="1" customWidth="1"/>
    <col min="13060" max="13060" width="12.5703125" style="1" customWidth="1"/>
    <col min="13061" max="13061" width="14.28515625" style="1" bestFit="1" customWidth="1"/>
    <col min="13062" max="13062" width="12.5703125" style="1" customWidth="1"/>
    <col min="13063" max="13063" width="14" style="1" bestFit="1" customWidth="1"/>
    <col min="13064" max="13064" width="10" style="1" customWidth="1"/>
    <col min="13065" max="13065" width="14.28515625" style="1" bestFit="1" customWidth="1"/>
    <col min="13066" max="13066" width="8" style="1"/>
    <col min="13067" max="13076" width="0" style="1" hidden="1" customWidth="1"/>
    <col min="13077" max="13312" width="8" style="1"/>
    <col min="13313" max="13313" width="5.7109375" style="1" customWidth="1"/>
    <col min="13314" max="13314" width="25.42578125" style="1" customWidth="1"/>
    <col min="13315" max="13315" width="14.140625" style="1" bestFit="1" customWidth="1"/>
    <col min="13316" max="13316" width="12.5703125" style="1" customWidth="1"/>
    <col min="13317" max="13317" width="14.28515625" style="1" bestFit="1" customWidth="1"/>
    <col min="13318" max="13318" width="12.5703125" style="1" customWidth="1"/>
    <col min="13319" max="13319" width="14" style="1" bestFit="1" customWidth="1"/>
    <col min="13320" max="13320" width="10" style="1" customWidth="1"/>
    <col min="13321" max="13321" width="14.28515625" style="1" bestFit="1" customWidth="1"/>
    <col min="13322" max="13322" width="8" style="1"/>
    <col min="13323" max="13332" width="0" style="1" hidden="1" customWidth="1"/>
    <col min="13333" max="13568" width="8" style="1"/>
    <col min="13569" max="13569" width="5.7109375" style="1" customWidth="1"/>
    <col min="13570" max="13570" width="25.42578125" style="1" customWidth="1"/>
    <col min="13571" max="13571" width="14.140625" style="1" bestFit="1" customWidth="1"/>
    <col min="13572" max="13572" width="12.5703125" style="1" customWidth="1"/>
    <col min="13573" max="13573" width="14.28515625" style="1" bestFit="1" customWidth="1"/>
    <col min="13574" max="13574" width="12.5703125" style="1" customWidth="1"/>
    <col min="13575" max="13575" width="14" style="1" bestFit="1" customWidth="1"/>
    <col min="13576" max="13576" width="10" style="1" customWidth="1"/>
    <col min="13577" max="13577" width="14.28515625" style="1" bestFit="1" customWidth="1"/>
    <col min="13578" max="13578" width="8" style="1"/>
    <col min="13579" max="13588" width="0" style="1" hidden="1" customWidth="1"/>
    <col min="13589" max="13824" width="8" style="1"/>
    <col min="13825" max="13825" width="5.7109375" style="1" customWidth="1"/>
    <col min="13826" max="13826" width="25.42578125" style="1" customWidth="1"/>
    <col min="13827" max="13827" width="14.140625" style="1" bestFit="1" customWidth="1"/>
    <col min="13828" max="13828" width="12.5703125" style="1" customWidth="1"/>
    <col min="13829" max="13829" width="14.28515625" style="1" bestFit="1" customWidth="1"/>
    <col min="13830" max="13830" width="12.5703125" style="1" customWidth="1"/>
    <col min="13831" max="13831" width="14" style="1" bestFit="1" customWidth="1"/>
    <col min="13832" max="13832" width="10" style="1" customWidth="1"/>
    <col min="13833" max="13833" width="14.28515625" style="1" bestFit="1" customWidth="1"/>
    <col min="13834" max="13834" width="8" style="1"/>
    <col min="13835" max="13844" width="0" style="1" hidden="1" customWidth="1"/>
    <col min="13845" max="14080" width="8" style="1"/>
    <col min="14081" max="14081" width="5.7109375" style="1" customWidth="1"/>
    <col min="14082" max="14082" width="25.42578125" style="1" customWidth="1"/>
    <col min="14083" max="14083" width="14.140625" style="1" bestFit="1" customWidth="1"/>
    <col min="14084" max="14084" width="12.5703125" style="1" customWidth="1"/>
    <col min="14085" max="14085" width="14.28515625" style="1" bestFit="1" customWidth="1"/>
    <col min="14086" max="14086" width="12.5703125" style="1" customWidth="1"/>
    <col min="14087" max="14087" width="14" style="1" bestFit="1" customWidth="1"/>
    <col min="14088" max="14088" width="10" style="1" customWidth="1"/>
    <col min="14089" max="14089" width="14.28515625" style="1" bestFit="1" customWidth="1"/>
    <col min="14090" max="14090" width="8" style="1"/>
    <col min="14091" max="14100" width="0" style="1" hidden="1" customWidth="1"/>
    <col min="14101" max="14336" width="8" style="1"/>
    <col min="14337" max="14337" width="5.7109375" style="1" customWidth="1"/>
    <col min="14338" max="14338" width="25.42578125" style="1" customWidth="1"/>
    <col min="14339" max="14339" width="14.140625" style="1" bestFit="1" customWidth="1"/>
    <col min="14340" max="14340" width="12.5703125" style="1" customWidth="1"/>
    <col min="14341" max="14341" width="14.28515625" style="1" bestFit="1" customWidth="1"/>
    <col min="14342" max="14342" width="12.5703125" style="1" customWidth="1"/>
    <col min="14343" max="14343" width="14" style="1" bestFit="1" customWidth="1"/>
    <col min="14344" max="14344" width="10" style="1" customWidth="1"/>
    <col min="14345" max="14345" width="14.28515625" style="1" bestFit="1" customWidth="1"/>
    <col min="14346" max="14346" width="8" style="1"/>
    <col min="14347" max="14356" width="0" style="1" hidden="1" customWidth="1"/>
    <col min="14357" max="14592" width="8" style="1"/>
    <col min="14593" max="14593" width="5.7109375" style="1" customWidth="1"/>
    <col min="14594" max="14594" width="25.42578125" style="1" customWidth="1"/>
    <col min="14595" max="14595" width="14.140625" style="1" bestFit="1" customWidth="1"/>
    <col min="14596" max="14596" width="12.5703125" style="1" customWidth="1"/>
    <col min="14597" max="14597" width="14.28515625" style="1" bestFit="1" customWidth="1"/>
    <col min="14598" max="14598" width="12.5703125" style="1" customWidth="1"/>
    <col min="14599" max="14599" width="14" style="1" bestFit="1" customWidth="1"/>
    <col min="14600" max="14600" width="10" style="1" customWidth="1"/>
    <col min="14601" max="14601" width="14.28515625" style="1" bestFit="1" customWidth="1"/>
    <col min="14602" max="14602" width="8" style="1"/>
    <col min="14603" max="14612" width="0" style="1" hidden="1" customWidth="1"/>
    <col min="14613" max="14848" width="8" style="1"/>
    <col min="14849" max="14849" width="5.7109375" style="1" customWidth="1"/>
    <col min="14850" max="14850" width="25.42578125" style="1" customWidth="1"/>
    <col min="14851" max="14851" width="14.140625" style="1" bestFit="1" customWidth="1"/>
    <col min="14852" max="14852" width="12.5703125" style="1" customWidth="1"/>
    <col min="14853" max="14853" width="14.28515625" style="1" bestFit="1" customWidth="1"/>
    <col min="14854" max="14854" width="12.5703125" style="1" customWidth="1"/>
    <col min="14855" max="14855" width="14" style="1" bestFit="1" customWidth="1"/>
    <col min="14856" max="14856" width="10" style="1" customWidth="1"/>
    <col min="14857" max="14857" width="14.28515625" style="1" bestFit="1" customWidth="1"/>
    <col min="14858" max="14858" width="8" style="1"/>
    <col min="14859" max="14868" width="0" style="1" hidden="1" customWidth="1"/>
    <col min="14869" max="15104" width="8" style="1"/>
    <col min="15105" max="15105" width="5.7109375" style="1" customWidth="1"/>
    <col min="15106" max="15106" width="25.42578125" style="1" customWidth="1"/>
    <col min="15107" max="15107" width="14.140625" style="1" bestFit="1" customWidth="1"/>
    <col min="15108" max="15108" width="12.5703125" style="1" customWidth="1"/>
    <col min="15109" max="15109" width="14.28515625" style="1" bestFit="1" customWidth="1"/>
    <col min="15110" max="15110" width="12.5703125" style="1" customWidth="1"/>
    <col min="15111" max="15111" width="14" style="1" bestFit="1" customWidth="1"/>
    <col min="15112" max="15112" width="10" style="1" customWidth="1"/>
    <col min="15113" max="15113" width="14.28515625" style="1" bestFit="1" customWidth="1"/>
    <col min="15114" max="15114" width="8" style="1"/>
    <col min="15115" max="15124" width="0" style="1" hidden="1" customWidth="1"/>
    <col min="15125" max="15360" width="8" style="1"/>
    <col min="15361" max="15361" width="5.7109375" style="1" customWidth="1"/>
    <col min="15362" max="15362" width="25.42578125" style="1" customWidth="1"/>
    <col min="15363" max="15363" width="14.140625" style="1" bestFit="1" customWidth="1"/>
    <col min="15364" max="15364" width="12.5703125" style="1" customWidth="1"/>
    <col min="15365" max="15365" width="14.28515625" style="1" bestFit="1" customWidth="1"/>
    <col min="15366" max="15366" width="12.5703125" style="1" customWidth="1"/>
    <col min="15367" max="15367" width="14" style="1" bestFit="1" customWidth="1"/>
    <col min="15368" max="15368" width="10" style="1" customWidth="1"/>
    <col min="15369" max="15369" width="14.28515625" style="1" bestFit="1" customWidth="1"/>
    <col min="15370" max="15370" width="8" style="1"/>
    <col min="15371" max="15380" width="0" style="1" hidden="1" customWidth="1"/>
    <col min="15381" max="15616" width="8" style="1"/>
    <col min="15617" max="15617" width="5.7109375" style="1" customWidth="1"/>
    <col min="15618" max="15618" width="25.42578125" style="1" customWidth="1"/>
    <col min="15619" max="15619" width="14.140625" style="1" bestFit="1" customWidth="1"/>
    <col min="15620" max="15620" width="12.5703125" style="1" customWidth="1"/>
    <col min="15621" max="15621" width="14.28515625" style="1" bestFit="1" customWidth="1"/>
    <col min="15622" max="15622" width="12.5703125" style="1" customWidth="1"/>
    <col min="15623" max="15623" width="14" style="1" bestFit="1" customWidth="1"/>
    <col min="15624" max="15624" width="10" style="1" customWidth="1"/>
    <col min="15625" max="15625" width="14.28515625" style="1" bestFit="1" customWidth="1"/>
    <col min="15626" max="15626" width="8" style="1"/>
    <col min="15627" max="15636" width="0" style="1" hidden="1" customWidth="1"/>
    <col min="15637" max="15872" width="8" style="1"/>
    <col min="15873" max="15873" width="5.7109375" style="1" customWidth="1"/>
    <col min="15874" max="15874" width="25.42578125" style="1" customWidth="1"/>
    <col min="15875" max="15875" width="14.140625" style="1" bestFit="1" customWidth="1"/>
    <col min="15876" max="15876" width="12.5703125" style="1" customWidth="1"/>
    <col min="15877" max="15877" width="14.28515625" style="1" bestFit="1" customWidth="1"/>
    <col min="15878" max="15878" width="12.5703125" style="1" customWidth="1"/>
    <col min="15879" max="15879" width="14" style="1" bestFit="1" customWidth="1"/>
    <col min="15880" max="15880" width="10" style="1" customWidth="1"/>
    <col min="15881" max="15881" width="14.28515625" style="1" bestFit="1" customWidth="1"/>
    <col min="15882" max="15882" width="8" style="1"/>
    <col min="15883" max="15892" width="0" style="1" hidden="1" customWidth="1"/>
    <col min="15893" max="16128" width="8" style="1"/>
    <col min="16129" max="16129" width="5.7109375" style="1" customWidth="1"/>
    <col min="16130" max="16130" width="25.42578125" style="1" customWidth="1"/>
    <col min="16131" max="16131" width="14.140625" style="1" bestFit="1" customWidth="1"/>
    <col min="16132" max="16132" width="12.5703125" style="1" customWidth="1"/>
    <col min="16133" max="16133" width="14.28515625" style="1" bestFit="1" customWidth="1"/>
    <col min="16134" max="16134" width="12.5703125" style="1" customWidth="1"/>
    <col min="16135" max="16135" width="14" style="1" bestFit="1" customWidth="1"/>
    <col min="16136" max="16136" width="10" style="1" customWidth="1"/>
    <col min="16137" max="16137" width="14.28515625" style="1" bestFit="1" customWidth="1"/>
    <col min="16138" max="16138" width="8" style="1"/>
    <col min="16139" max="16148" width="0" style="1" hidden="1" customWidth="1"/>
    <col min="16149" max="16384" width="8" style="1"/>
  </cols>
  <sheetData>
    <row r="1" spans="1:9" ht="12.75" x14ac:dyDescent="0.25">
      <c r="A1" s="101" t="s">
        <v>12</v>
      </c>
      <c r="B1" s="101"/>
      <c r="C1" s="101"/>
      <c r="D1" s="101"/>
      <c r="E1" s="101"/>
      <c r="F1" s="101"/>
      <c r="G1" s="101"/>
      <c r="H1" s="101"/>
      <c r="I1" s="101"/>
    </row>
    <row r="2" spans="1:9" ht="12.75" x14ac:dyDescent="0.25">
      <c r="A2" s="102" t="s">
        <v>13</v>
      </c>
      <c r="B2" s="102"/>
      <c r="C2" s="102"/>
      <c r="D2" s="102"/>
      <c r="E2" s="102"/>
      <c r="F2" s="102"/>
      <c r="G2" s="102"/>
      <c r="H2" s="102"/>
      <c r="I2" s="102"/>
    </row>
    <row r="3" spans="1:9" x14ac:dyDescent="0.25">
      <c r="A3" s="103"/>
      <c r="B3" s="103"/>
      <c r="C3" s="103"/>
      <c r="D3" s="103"/>
      <c r="E3" s="103"/>
      <c r="F3" s="103"/>
      <c r="G3" s="103"/>
      <c r="H3" s="103"/>
      <c r="I3" s="103"/>
    </row>
    <row r="4" spans="1:9" ht="12.75" x14ac:dyDescent="0.25">
      <c r="A4" s="96" t="s">
        <v>348</v>
      </c>
      <c r="B4" s="96"/>
      <c r="C4" s="33" t="s">
        <v>14</v>
      </c>
      <c r="D4" s="2">
        <v>46013</v>
      </c>
      <c r="E4" s="96" t="s">
        <v>342</v>
      </c>
      <c r="F4" s="96"/>
      <c r="G4" s="96"/>
      <c r="H4" s="96"/>
      <c r="I4" s="96"/>
    </row>
    <row r="5" spans="1:9" ht="12.75" x14ac:dyDescent="0.25">
      <c r="A5" s="95"/>
      <c r="B5" s="95"/>
      <c r="C5" s="95"/>
      <c r="D5" s="95"/>
      <c r="E5" s="95"/>
      <c r="F5" s="95"/>
      <c r="G5" s="95"/>
      <c r="H5" s="95"/>
      <c r="I5" s="95"/>
    </row>
    <row r="6" spans="1:9" ht="12.75" x14ac:dyDescent="0.25">
      <c r="A6" s="96" t="s">
        <v>0</v>
      </c>
      <c r="B6" s="97" t="s">
        <v>2</v>
      </c>
      <c r="C6" s="34" t="s">
        <v>15</v>
      </c>
      <c r="D6" s="4" t="s">
        <v>16</v>
      </c>
      <c r="E6" s="4"/>
      <c r="F6" s="3" t="s">
        <v>17</v>
      </c>
      <c r="G6" s="99" t="s">
        <v>18</v>
      </c>
      <c r="H6" s="99" t="s">
        <v>19</v>
      </c>
      <c r="I6" s="5" t="s">
        <v>20</v>
      </c>
    </row>
    <row r="7" spans="1:9" ht="12.75" x14ac:dyDescent="0.25">
      <c r="A7" s="96"/>
      <c r="B7" s="98"/>
      <c r="C7" s="35" t="s">
        <v>21</v>
      </c>
      <c r="D7" s="4" t="s">
        <v>22</v>
      </c>
      <c r="E7" s="4" t="s">
        <v>23</v>
      </c>
      <c r="F7" s="6" t="s">
        <v>24</v>
      </c>
      <c r="G7" s="100"/>
      <c r="H7" s="100"/>
      <c r="I7" s="7" t="s">
        <v>25</v>
      </c>
    </row>
    <row r="8" spans="1:9" ht="12.75" x14ac:dyDescent="0.25">
      <c r="A8" s="43"/>
      <c r="B8" s="44" t="s">
        <v>92</v>
      </c>
      <c r="C8" s="35"/>
      <c r="D8" s="4"/>
      <c r="E8" s="4"/>
      <c r="F8" s="6"/>
      <c r="G8" s="45"/>
      <c r="H8" s="45"/>
      <c r="I8" s="7"/>
    </row>
    <row r="9" spans="1:9" ht="15" customHeight="1" x14ac:dyDescent="0.25">
      <c r="A9" s="19">
        <v>1</v>
      </c>
      <c r="B9" s="18" t="str">
        <f>_xlfn.XLOOKUP(A9,Detail!A3:A654,Detail!C3:C654)</f>
        <v xml:space="preserve">Temporary Erosion &amp; Sediment Control </v>
      </c>
      <c r="C9" s="32">
        <v>40400</v>
      </c>
      <c r="D9" s="10">
        <v>12120</v>
      </c>
      <c r="E9" s="10">
        <f>+Detail!$K3</f>
        <v>2020</v>
      </c>
      <c r="F9" s="10">
        <v>0</v>
      </c>
      <c r="G9" s="10">
        <f>D9+E9+F9</f>
        <v>14140</v>
      </c>
      <c r="H9" s="8">
        <f>G9/C9</f>
        <v>0.35</v>
      </c>
      <c r="I9" s="10">
        <f>+C9-G9</f>
        <v>26260</v>
      </c>
    </row>
    <row r="10" spans="1:9" ht="15" customHeight="1" x14ac:dyDescent="0.25">
      <c r="A10" s="19">
        <v>2</v>
      </c>
      <c r="B10" s="18" t="str">
        <f>_xlfn.XLOOKUP(A10,Detail!A4:A655,Detail!C4:C655)</f>
        <v>Site Demolition</v>
      </c>
      <c r="C10" s="32">
        <v>582300</v>
      </c>
      <c r="D10" s="10">
        <v>8086.3132327933972</v>
      </c>
      <c r="E10" s="10">
        <f>+Detail!K6</f>
        <v>57531.747924719697</v>
      </c>
      <c r="F10" s="10">
        <v>0</v>
      </c>
      <c r="G10" s="10">
        <f>D10+E10+F10</f>
        <v>65618.06115751309</v>
      </c>
      <c r="H10" s="8">
        <f>G10/C10</f>
        <v>0.11268772309378858</v>
      </c>
      <c r="I10" s="10">
        <f>+C10-G10</f>
        <v>516681.93884248694</v>
      </c>
    </row>
    <row r="11" spans="1:9" ht="15" customHeight="1" x14ac:dyDescent="0.25">
      <c r="A11" s="19">
        <v>3</v>
      </c>
      <c r="B11" s="18" t="str">
        <f>_xlfn.XLOOKUP(A11,Detail!A6:A656,Detail!C6:C656)</f>
        <v>Site Earthwork</v>
      </c>
      <c r="C11" s="32">
        <v>1267100</v>
      </c>
      <c r="D11" s="10">
        <v>509852.53824589984</v>
      </c>
      <c r="E11" s="10">
        <f>+Detail!K85</f>
        <v>0</v>
      </c>
      <c r="F11" s="10">
        <v>0</v>
      </c>
      <c r="G11" s="10">
        <f>D11+E11+F11</f>
        <v>509852.53824589984</v>
      </c>
      <c r="H11" s="8">
        <f>G11/C11</f>
        <v>0.40237750631039371</v>
      </c>
      <c r="I11" s="10">
        <f>+C11-G11</f>
        <v>757247.46175410016</v>
      </c>
    </row>
    <row r="12" spans="1:9" ht="15" customHeight="1" x14ac:dyDescent="0.25">
      <c r="A12" s="19">
        <v>4</v>
      </c>
      <c r="B12" s="18" t="str">
        <f>_xlfn.XLOOKUP(A12,Detail!A7:A657,Detail!C7:C657)</f>
        <v>Utilities (CW,FL,SD,SS,IRR)</v>
      </c>
      <c r="C12" s="32">
        <v>1215500</v>
      </c>
      <c r="D12" s="10">
        <v>425292.35901778477</v>
      </c>
      <c r="E12" s="10">
        <f>+Detail!K107</f>
        <v>0</v>
      </c>
      <c r="F12" s="10">
        <v>0</v>
      </c>
      <c r="G12" s="10">
        <f t="shared" ref="G12:G25" si="0">D12+E12+F12</f>
        <v>425292.35901778477</v>
      </c>
      <c r="H12" s="8">
        <f t="shared" ref="H12:H25" si="1">G12/C12</f>
        <v>0.34989087537456581</v>
      </c>
      <c r="I12" s="10">
        <f t="shared" ref="I12:I25" si="2">+C12-G12</f>
        <v>790207.64098221529</v>
      </c>
    </row>
    <row r="13" spans="1:9" ht="15" customHeight="1" x14ac:dyDescent="0.25">
      <c r="A13" s="19">
        <v>5</v>
      </c>
      <c r="B13" s="18" t="str">
        <f>_xlfn.XLOOKUP(A13,Detail!A9:A658,Detail!C9:C658)</f>
        <v>Building Earthwork</v>
      </c>
      <c r="C13" s="32">
        <v>748900</v>
      </c>
      <c r="D13" s="10">
        <v>387693.9536600688</v>
      </c>
      <c r="E13" s="10">
        <f>+Detail!K345</f>
        <v>99267.640010369854</v>
      </c>
      <c r="F13" s="10">
        <v>0</v>
      </c>
      <c r="G13" s="10">
        <f t="shared" si="0"/>
        <v>486961.59367043863</v>
      </c>
      <c r="H13" s="8">
        <f t="shared" si="1"/>
        <v>0.65023580407322557</v>
      </c>
      <c r="I13" s="10">
        <f t="shared" si="2"/>
        <v>261938.40632956137</v>
      </c>
    </row>
    <row r="14" spans="1:9" ht="15" customHeight="1" x14ac:dyDescent="0.25">
      <c r="A14" s="19">
        <v>6</v>
      </c>
      <c r="B14" s="18" t="str">
        <f>_xlfn.XLOOKUP(A14,Detail!A10:A659,Detail!C10:C659)</f>
        <v>Structural Concrete</v>
      </c>
      <c r="C14" s="32">
        <v>317600</v>
      </c>
      <c r="D14" s="10">
        <v>103643.91285899718</v>
      </c>
      <c r="E14" s="10">
        <f>+Detail!K376</f>
        <v>61201.96132682162</v>
      </c>
      <c r="F14" s="10">
        <v>0</v>
      </c>
      <c r="G14" s="10">
        <f t="shared" si="0"/>
        <v>164845.8741858188</v>
      </c>
      <c r="H14" s="8">
        <f t="shared" si="1"/>
        <v>0.51903612778910202</v>
      </c>
      <c r="I14" s="10">
        <f t="shared" si="2"/>
        <v>152754.1258141812</v>
      </c>
    </row>
    <row r="15" spans="1:9" ht="15" customHeight="1" x14ac:dyDescent="0.25">
      <c r="A15" s="19">
        <v>7</v>
      </c>
      <c r="B15" s="18" t="str">
        <f>_xlfn.XLOOKUP(A15,Detail!A11:A660,Detail!C11:C660)</f>
        <v>Site Concrete Prep</v>
      </c>
      <c r="C15" s="32">
        <v>261500</v>
      </c>
      <c r="D15" s="10">
        <v>10633.272616860262</v>
      </c>
      <c r="E15" s="10">
        <f>+Detail!K425</f>
        <v>0</v>
      </c>
      <c r="F15" s="10">
        <v>0</v>
      </c>
      <c r="G15" s="10">
        <f t="shared" si="0"/>
        <v>10633.272616860262</v>
      </c>
      <c r="H15" s="8">
        <f t="shared" si="1"/>
        <v>4.0662610389522992E-2</v>
      </c>
      <c r="I15" s="10">
        <f t="shared" si="2"/>
        <v>250866.72738313975</v>
      </c>
    </row>
    <row r="16" spans="1:9" ht="15" customHeight="1" x14ac:dyDescent="0.25">
      <c r="A16" s="19">
        <v>8</v>
      </c>
      <c r="B16" s="18" t="str">
        <f>_xlfn.XLOOKUP(A16,Detail!A12:A661,Detail!C12:C661)</f>
        <v>Site Concrete</v>
      </c>
      <c r="C16" s="32">
        <v>1367500</v>
      </c>
      <c r="D16" s="10">
        <v>172106.43648247264</v>
      </c>
      <c r="E16" s="10">
        <f>+Detail!K464</f>
        <v>0</v>
      </c>
      <c r="F16" s="10">
        <v>0</v>
      </c>
      <c r="G16" s="10">
        <f t="shared" si="0"/>
        <v>172106.43648247264</v>
      </c>
      <c r="H16" s="8">
        <f t="shared" si="1"/>
        <v>0.12585479815902936</v>
      </c>
      <c r="I16" s="10">
        <f t="shared" si="2"/>
        <v>1195393.5635175274</v>
      </c>
    </row>
    <row r="17" spans="1:9" ht="15" customHeight="1" x14ac:dyDescent="0.25">
      <c r="A17" s="19">
        <v>9</v>
      </c>
      <c r="B17" s="55" t="str">
        <f>_xlfn.XLOOKUP(A17,Detail!A13:A662,Detail!C13:C662)</f>
        <v xml:space="preserve">Hot-Mix Asphalt (Prep)
</v>
      </c>
      <c r="C17" s="32">
        <v>130300</v>
      </c>
      <c r="D17" s="10">
        <v>0</v>
      </c>
      <c r="E17" s="10">
        <f>_xlfn.XLOOKUP(A17,Detail!$A$3:$A$654,Detail!$AE$3:$AE$654)</f>
        <v>0</v>
      </c>
      <c r="F17" s="10">
        <v>0</v>
      </c>
      <c r="G17" s="10">
        <f t="shared" si="0"/>
        <v>0</v>
      </c>
      <c r="H17" s="8">
        <f t="shared" si="1"/>
        <v>0</v>
      </c>
      <c r="I17" s="10">
        <f t="shared" si="2"/>
        <v>130300</v>
      </c>
    </row>
    <row r="18" spans="1:9" ht="15" customHeight="1" x14ac:dyDescent="0.25">
      <c r="A18" s="19">
        <v>10</v>
      </c>
      <c r="B18" s="18" t="str">
        <f>_xlfn.XLOOKUP(A18,Detail!A14:A663,Detail!C14:C663)</f>
        <v xml:space="preserve">Hot-Mix Asphalt Paving
</v>
      </c>
      <c r="C18" s="32">
        <v>230200</v>
      </c>
      <c r="D18" s="10">
        <v>0</v>
      </c>
      <c r="E18" s="10">
        <f>_xlfn.XLOOKUP(A18,Detail!$A$3:$A$654,Detail!$AE$3:$AE$654)</f>
        <v>0</v>
      </c>
      <c r="F18" s="10">
        <v>0</v>
      </c>
      <c r="G18" s="10">
        <f t="shared" si="0"/>
        <v>0</v>
      </c>
      <c r="H18" s="8">
        <f t="shared" si="1"/>
        <v>0</v>
      </c>
      <c r="I18" s="10">
        <f t="shared" si="2"/>
        <v>230200</v>
      </c>
    </row>
    <row r="19" spans="1:9" ht="15" customHeight="1" x14ac:dyDescent="0.25">
      <c r="A19" s="19">
        <v>11</v>
      </c>
      <c r="B19" s="55" t="str">
        <f>_xlfn.XLOOKUP(A19,Detail!A15:A664,Detail!C15:C664)</f>
        <v>Pavement Markings - Striping</v>
      </c>
      <c r="C19" s="32">
        <v>2910</v>
      </c>
      <c r="D19" s="10">
        <v>0</v>
      </c>
      <c r="E19" s="10">
        <f>_xlfn.XLOOKUP(A19,Detail!$A$3:$A$654,Detail!$AE$3:$AE$654)</f>
        <v>0</v>
      </c>
      <c r="F19" s="10">
        <v>0</v>
      </c>
      <c r="G19" s="10">
        <f t="shared" si="0"/>
        <v>0</v>
      </c>
      <c r="H19" s="8">
        <f t="shared" si="1"/>
        <v>0</v>
      </c>
      <c r="I19" s="10">
        <f t="shared" si="2"/>
        <v>2910</v>
      </c>
    </row>
    <row r="20" spans="1:9" ht="15" customHeight="1" x14ac:dyDescent="0.25">
      <c r="A20" s="19">
        <v>12</v>
      </c>
      <c r="B20" s="55" t="str">
        <f>_xlfn.XLOOKUP(A20,Detail!A16:A665,Detail!C16:C665)</f>
        <v>Exterior Sports Equipment</v>
      </c>
      <c r="C20" s="32">
        <v>818500</v>
      </c>
      <c r="D20" s="10">
        <v>236740.89</v>
      </c>
      <c r="E20" s="10">
        <f>+Detail!K508</f>
        <v>0</v>
      </c>
      <c r="F20" s="10"/>
      <c r="G20" s="10">
        <f t="shared" si="0"/>
        <v>236740.89</v>
      </c>
      <c r="H20" s="8">
        <f t="shared" si="1"/>
        <v>0.2892374954184484</v>
      </c>
      <c r="I20" s="10">
        <f t="shared" si="2"/>
        <v>581759.11</v>
      </c>
    </row>
    <row r="21" spans="1:9" ht="15" customHeight="1" x14ac:dyDescent="0.25">
      <c r="A21" s="19">
        <v>13</v>
      </c>
      <c r="B21" s="18" t="str">
        <f>_xlfn.XLOOKUP(A21,Detail!A17:A666,Detail!C17:C666)</f>
        <v xml:space="preserve">Turf Field Prep </v>
      </c>
      <c r="C21" s="32">
        <v>2424100</v>
      </c>
      <c r="D21" s="10">
        <v>1091650.7720421082</v>
      </c>
      <c r="E21" s="10">
        <f>+Detail!K600</f>
        <v>0</v>
      </c>
      <c r="F21" s="10">
        <v>0</v>
      </c>
      <c r="G21" s="10">
        <f t="shared" si="0"/>
        <v>1091650.7720421082</v>
      </c>
      <c r="H21" s="8">
        <f t="shared" si="1"/>
        <v>0.45033240049589879</v>
      </c>
      <c r="I21" s="10">
        <f t="shared" si="2"/>
        <v>1332449.2279578918</v>
      </c>
    </row>
    <row r="22" spans="1:9" ht="15" customHeight="1" x14ac:dyDescent="0.25">
      <c r="A22" s="19">
        <v>14</v>
      </c>
      <c r="B22" s="18" t="str">
        <f>_xlfn.XLOOKUP(A22,Detail!A18:A667,Detail!C18:C667)</f>
        <v>Segmented Retaining Wall</v>
      </c>
      <c r="C22" s="32">
        <v>63300</v>
      </c>
      <c r="D22" s="10">
        <v>63300</v>
      </c>
      <c r="E22" s="10">
        <f>+Detail!P627</f>
        <v>0</v>
      </c>
      <c r="F22" s="10">
        <v>0</v>
      </c>
      <c r="G22" s="10">
        <f t="shared" si="0"/>
        <v>63300</v>
      </c>
      <c r="H22" s="8">
        <f t="shared" si="1"/>
        <v>1</v>
      </c>
      <c r="I22" s="10">
        <f t="shared" si="2"/>
        <v>0</v>
      </c>
    </row>
    <row r="23" spans="1:9" ht="15" customHeight="1" x14ac:dyDescent="0.25">
      <c r="A23" s="19">
        <v>15</v>
      </c>
      <c r="B23" s="18" t="str">
        <f>_xlfn.XLOOKUP(A23,Detail!A19:A668,Detail!C19:C668)</f>
        <v>Concrete Sign Wall - Tilt Panel</v>
      </c>
      <c r="C23" s="32">
        <v>24700</v>
      </c>
      <c r="D23" s="10">
        <v>0</v>
      </c>
      <c r="E23" s="10">
        <f>_xlfn.XLOOKUP(A23,Detail!$A$3:$A$654,Detail!$AE$3:$AE$654)</f>
        <v>0</v>
      </c>
      <c r="F23" s="10">
        <v>0</v>
      </c>
      <c r="G23" s="10">
        <f t="shared" si="0"/>
        <v>0</v>
      </c>
      <c r="H23" s="8">
        <f t="shared" si="1"/>
        <v>0</v>
      </c>
      <c r="I23" s="10">
        <f t="shared" si="2"/>
        <v>24700</v>
      </c>
    </row>
    <row r="24" spans="1:9" ht="15" customHeight="1" x14ac:dyDescent="0.25">
      <c r="A24" s="19">
        <v>16</v>
      </c>
      <c r="B24" s="18" t="str">
        <f>_xlfn.XLOOKUP(A24,Detail!A20:A669,Detail!C20:C669)</f>
        <v>Baseball &amp; Softball Scoreboards</v>
      </c>
      <c r="C24" s="32">
        <v>63000</v>
      </c>
      <c r="D24" s="10">
        <v>0</v>
      </c>
      <c r="E24" s="10">
        <f>_xlfn.XLOOKUP(A24,Detail!$A$3:$A$654,Detail!$AE$3:$AE$654)</f>
        <v>0</v>
      </c>
      <c r="F24" s="10">
        <v>0</v>
      </c>
      <c r="G24" s="10">
        <f t="shared" si="0"/>
        <v>0</v>
      </c>
      <c r="H24" s="8">
        <f t="shared" si="1"/>
        <v>0</v>
      </c>
      <c r="I24" s="10">
        <f t="shared" si="2"/>
        <v>63000</v>
      </c>
    </row>
    <row r="25" spans="1:9" ht="15" customHeight="1" x14ac:dyDescent="0.25">
      <c r="A25" s="19">
        <v>17</v>
      </c>
      <c r="B25" s="18" t="str">
        <f>_xlfn.XLOOKUP(A25,Detail!A21:A670,Detail!C21:C670)</f>
        <v>Soccer Scoreboards</v>
      </c>
      <c r="C25" s="32">
        <v>65000</v>
      </c>
      <c r="D25" s="10">
        <v>0</v>
      </c>
      <c r="E25" s="10">
        <f>_xlfn.XLOOKUP(A25,Detail!$A$3:$A$654,Detail!$AE$3:$AE$654)</f>
        <v>0</v>
      </c>
      <c r="F25" s="10">
        <v>0</v>
      </c>
      <c r="G25" s="10">
        <f t="shared" si="0"/>
        <v>0</v>
      </c>
      <c r="H25" s="8">
        <f t="shared" si="1"/>
        <v>0</v>
      </c>
      <c r="I25" s="10">
        <f t="shared" si="2"/>
        <v>65000</v>
      </c>
    </row>
    <row r="26" spans="1:9" ht="15" customHeight="1" x14ac:dyDescent="0.25">
      <c r="A26" s="19">
        <v>18</v>
      </c>
      <c r="B26" s="18" t="str">
        <f>_xlfn.XLOOKUP(A26,Detail!A22:A671,Detail!C22:C671)</f>
        <v>Building Demo (Concrete Slabs And Footings)</v>
      </c>
      <c r="C26" s="32">
        <v>398000</v>
      </c>
      <c r="D26" s="10">
        <v>0</v>
      </c>
      <c r="E26" s="10">
        <f>+Detail!K648</f>
        <v>9045.454545454546</v>
      </c>
      <c r="F26" s="10">
        <v>0</v>
      </c>
      <c r="G26" s="10">
        <f t="shared" ref="G26:G27" si="3">D26+E26+F26</f>
        <v>9045.454545454546</v>
      </c>
      <c r="H26" s="8">
        <f t="shared" ref="H26:H27" si="4">G26/C26</f>
        <v>2.2727272727272728E-2</v>
      </c>
      <c r="I26" s="10">
        <f t="shared" ref="I26:I27" si="5">+C26-G26</f>
        <v>388954.54545454547</v>
      </c>
    </row>
    <row r="27" spans="1:9" ht="15" customHeight="1" x14ac:dyDescent="0.25">
      <c r="A27" s="19">
        <v>19</v>
      </c>
      <c r="B27" s="18" t="str">
        <f>_xlfn.XLOOKUP(A27,Detail!A23:A672,Detail!C23:C672)</f>
        <v>Hazwoper Training</v>
      </c>
      <c r="C27" s="32">
        <v>100000</v>
      </c>
      <c r="D27" s="10">
        <v>35000</v>
      </c>
      <c r="E27" s="10">
        <v>15000</v>
      </c>
      <c r="F27" s="10">
        <v>0</v>
      </c>
      <c r="G27" s="10">
        <f t="shared" si="3"/>
        <v>50000</v>
      </c>
      <c r="H27" s="8">
        <f t="shared" si="4"/>
        <v>0.5</v>
      </c>
      <c r="I27" s="10">
        <f t="shared" si="5"/>
        <v>50000</v>
      </c>
    </row>
    <row r="28" spans="1:9" ht="12.75" x14ac:dyDescent="0.25">
      <c r="A28" s="20"/>
      <c r="B28" s="26" t="s">
        <v>26</v>
      </c>
      <c r="C28" s="27">
        <f>SUM(C9:C27)</f>
        <v>10120810</v>
      </c>
      <c r="D28" s="27">
        <f>SUM(D9:D27)</f>
        <v>3056120.448156985</v>
      </c>
      <c r="E28" s="27">
        <f>SUM(E9:E27)</f>
        <v>244066.80380736574</v>
      </c>
      <c r="F28" s="27">
        <f>SUM(F9:F27)</f>
        <v>0</v>
      </c>
      <c r="G28" s="27">
        <f>SUM(G9:G27)</f>
        <v>3300187.2519643507</v>
      </c>
      <c r="H28" s="28">
        <f t="shared" ref="H28" si="6">G28/C28</f>
        <v>0.32607936044292413</v>
      </c>
      <c r="I28" s="27">
        <f>SUM(I9:I27)</f>
        <v>6820622.7480356498</v>
      </c>
    </row>
    <row r="29" spans="1:9" ht="15" x14ac:dyDescent="0.25">
      <c r="A29" s="20"/>
      <c r="B29" s="22" t="s">
        <v>27</v>
      </c>
      <c r="C29" s="36"/>
      <c r="D29" s="22"/>
      <c r="E29" s="22"/>
      <c r="F29" s="22"/>
      <c r="G29" s="22"/>
      <c r="H29" s="22"/>
      <c r="I29" s="22"/>
    </row>
    <row r="30" spans="1:9" ht="12.75" x14ac:dyDescent="0.25">
      <c r="A30" s="20"/>
      <c r="B30" s="9"/>
      <c r="C30" s="32">
        <v>0</v>
      </c>
      <c r="D30" s="21">
        <v>0</v>
      </c>
      <c r="E30" s="21">
        <v>0</v>
      </c>
      <c r="F30" s="10">
        <v>0</v>
      </c>
      <c r="G30" s="10">
        <f>D30+E30+F30</f>
        <v>0</v>
      </c>
      <c r="H30" s="8" t="str">
        <f>IF(B30="","",(G30/C30))</f>
        <v/>
      </c>
      <c r="I30" s="10">
        <f>+C30-G30</f>
        <v>0</v>
      </c>
    </row>
    <row r="31" spans="1:9" ht="12.75" x14ac:dyDescent="0.25">
      <c r="A31" s="20"/>
      <c r="B31" s="9"/>
      <c r="C31" s="32">
        <v>0</v>
      </c>
      <c r="D31" s="21">
        <v>0</v>
      </c>
      <c r="E31" s="21">
        <v>0</v>
      </c>
      <c r="F31" s="10">
        <v>0</v>
      </c>
      <c r="G31" s="10">
        <f t="shared" ref="G31" si="7">D31+E31+F31</f>
        <v>0</v>
      </c>
      <c r="H31" s="8" t="str">
        <f t="shared" ref="H31" si="8">IF(B31="","",(G31/C31))</f>
        <v/>
      </c>
      <c r="I31" s="10">
        <f t="shared" ref="I31" si="9">+C31-G31</f>
        <v>0</v>
      </c>
    </row>
    <row r="32" spans="1:9" ht="12.75" x14ac:dyDescent="0.25">
      <c r="A32" s="20"/>
      <c r="B32" s="26" t="s">
        <v>26</v>
      </c>
      <c r="C32" s="27">
        <f>SUM(C30:C31)</f>
        <v>0</v>
      </c>
      <c r="D32" s="29">
        <f>SUM(D30:D31)</f>
        <v>0</v>
      </c>
      <c r="E32" s="29">
        <f>SUM(E30:E31)</f>
        <v>0</v>
      </c>
      <c r="F32" s="29">
        <f>SUM(F30:F31)</f>
        <v>0</v>
      </c>
      <c r="G32" s="29">
        <f>SUM(G30:G31)</f>
        <v>0</v>
      </c>
      <c r="H32" s="30" t="str">
        <f>IF(B30="","",(G32/C32))</f>
        <v/>
      </c>
      <c r="I32" s="31">
        <f>SUM(I30:I31)</f>
        <v>0</v>
      </c>
    </row>
    <row r="33" spans="1:132" s="11" customFormat="1" ht="15" x14ac:dyDescent="0.25">
      <c r="A33" s="20"/>
      <c r="B33" s="23" t="s">
        <v>28</v>
      </c>
      <c r="C33" s="37">
        <f>+C32+C28</f>
        <v>10120810</v>
      </c>
      <c r="D33" s="24">
        <f>+D32+D28</f>
        <v>3056120.448156985</v>
      </c>
      <c r="E33" s="24">
        <f>+E32+E28</f>
        <v>244066.80380736574</v>
      </c>
      <c r="F33" s="24">
        <f>+F32+F28</f>
        <v>0</v>
      </c>
      <c r="G33" s="24">
        <f>+G32+G28</f>
        <v>3300187.2519643507</v>
      </c>
      <c r="H33" s="25">
        <f>G33/C33</f>
        <v>0.32607936044292413</v>
      </c>
      <c r="I33" s="24">
        <f>+C33-G33</f>
        <v>6820622.7480356488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</row>
    <row r="34" spans="1:132" s="11" customFormat="1" ht="12.75" x14ac:dyDescent="0.25">
      <c r="A34" s="20"/>
      <c r="B34" s="17"/>
      <c r="C34" s="38"/>
      <c r="D34" s="17"/>
      <c r="E34" s="17"/>
      <c r="F34" s="17"/>
      <c r="G34" s="17"/>
      <c r="H34" s="17"/>
      <c r="I34" s="1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</row>
    <row r="35" spans="1:132" ht="12.75" x14ac:dyDescent="0.25">
      <c r="A35" s="12"/>
      <c r="B35" s="12"/>
      <c r="C35" s="39"/>
      <c r="D35" s="13"/>
      <c r="E35" s="13"/>
      <c r="F35" s="12"/>
      <c r="G35" s="13"/>
      <c r="H35" s="14"/>
      <c r="I35" s="13"/>
    </row>
    <row r="36" spans="1:132" ht="12.75" x14ac:dyDescent="0.25">
      <c r="A36" s="12"/>
      <c r="B36" s="12"/>
      <c r="C36" s="39">
        <v>10120810</v>
      </c>
      <c r="D36" s="13">
        <v>2411787.8270553946</v>
      </c>
      <c r="E36" s="13">
        <v>532332.62165189476</v>
      </c>
      <c r="F36" s="12">
        <v>0</v>
      </c>
      <c r="G36" s="13">
        <v>2944120.4487072891</v>
      </c>
      <c r="H36" s="14">
        <v>0.29089770964056128</v>
      </c>
      <c r="I36" s="13">
        <v>7176689.5512927109</v>
      </c>
    </row>
    <row r="37" spans="1:132" ht="12.75" x14ac:dyDescent="0.25">
      <c r="A37" s="12"/>
      <c r="B37" s="15"/>
      <c r="C37" s="40"/>
      <c r="D37" s="13"/>
      <c r="E37" s="13"/>
      <c r="F37" s="12"/>
      <c r="G37" s="13"/>
      <c r="H37" s="14"/>
      <c r="I37" s="13"/>
    </row>
    <row r="38" spans="1:132" ht="12.75" x14ac:dyDescent="0.25">
      <c r="D38" s="42"/>
    </row>
    <row r="39" spans="1:132" ht="12.75" x14ac:dyDescent="0.25">
      <c r="D39" s="42"/>
    </row>
    <row r="40" spans="1:132" ht="12.75" x14ac:dyDescent="0.25">
      <c r="D40" s="42"/>
    </row>
    <row r="41" spans="1:132" ht="12.75" x14ac:dyDescent="0.25">
      <c r="D41" s="42"/>
    </row>
    <row r="42" spans="1:132" ht="12.75" x14ac:dyDescent="0.25">
      <c r="D42" s="42"/>
    </row>
    <row r="43" spans="1:132" ht="12.75" x14ac:dyDescent="0.25">
      <c r="D43" s="42"/>
    </row>
    <row r="44" spans="1:132" ht="12.75" x14ac:dyDescent="0.25">
      <c r="D44" s="42"/>
    </row>
    <row r="45" spans="1:132" ht="12.75" x14ac:dyDescent="0.25">
      <c r="D45" s="42"/>
    </row>
    <row r="46" spans="1:132" ht="12.75" x14ac:dyDescent="0.25">
      <c r="D46" s="42"/>
    </row>
    <row r="47" spans="1:132" ht="12.75" x14ac:dyDescent="0.25">
      <c r="D47" s="42"/>
    </row>
    <row r="48" spans="1:132" ht="12.75" x14ac:dyDescent="0.25">
      <c r="D48" s="42"/>
    </row>
    <row r="49" spans="4:4" ht="12.75" x14ac:dyDescent="0.25">
      <c r="D49" s="42"/>
    </row>
    <row r="50" spans="4:4" ht="12.75" x14ac:dyDescent="0.25">
      <c r="D50" s="42"/>
    </row>
    <row r="51" spans="4:4" ht="12.75" x14ac:dyDescent="0.25">
      <c r="D51" s="42"/>
    </row>
    <row r="52" spans="4:4" ht="12.75" x14ac:dyDescent="0.25">
      <c r="D52" s="42"/>
    </row>
    <row r="53" spans="4:4" ht="12.75" x14ac:dyDescent="0.25">
      <c r="D53" s="42"/>
    </row>
    <row r="54" spans="4:4" ht="12.75" x14ac:dyDescent="0.25">
      <c r="D54" s="42"/>
    </row>
    <row r="55" spans="4:4" ht="12.75" x14ac:dyDescent="0.25">
      <c r="D55" s="42"/>
    </row>
    <row r="56" spans="4:4" ht="12.75" x14ac:dyDescent="0.25">
      <c r="D56" s="42"/>
    </row>
    <row r="57" spans="4:4" ht="12.75" x14ac:dyDescent="0.25">
      <c r="D57" s="42"/>
    </row>
    <row r="58" spans="4:4" ht="12.75" x14ac:dyDescent="0.25">
      <c r="D58" s="42"/>
    </row>
    <row r="59" spans="4:4" ht="12.75" x14ac:dyDescent="0.25">
      <c r="D59" s="42"/>
    </row>
    <row r="60" spans="4:4" ht="12.75" x14ac:dyDescent="0.25">
      <c r="D60" s="42"/>
    </row>
    <row r="61" spans="4:4" ht="12.75" x14ac:dyDescent="0.25">
      <c r="D61" s="42"/>
    </row>
    <row r="62" spans="4:4" ht="12.75" x14ac:dyDescent="0.25">
      <c r="D62" s="42"/>
    </row>
    <row r="63" spans="4:4" ht="12.75" x14ac:dyDescent="0.25">
      <c r="D63" s="42"/>
    </row>
    <row r="64" spans="4:4" ht="12.75" x14ac:dyDescent="0.25">
      <c r="D64" s="42"/>
    </row>
    <row r="65" spans="4:4" ht="12.75" x14ac:dyDescent="0.25">
      <c r="D65" s="42"/>
    </row>
    <row r="66" spans="4:4" ht="12.75" x14ac:dyDescent="0.25">
      <c r="D66" s="42"/>
    </row>
    <row r="67" spans="4:4" ht="12.75" x14ac:dyDescent="0.25">
      <c r="D67" s="42"/>
    </row>
    <row r="68" spans="4:4" ht="12.75" x14ac:dyDescent="0.25">
      <c r="D68" s="42"/>
    </row>
  </sheetData>
  <mergeCells count="11">
    <mergeCell ref="A1:I1"/>
    <mergeCell ref="A2:I2"/>
    <mergeCell ref="A3:I3"/>
    <mergeCell ref="A4:B4"/>
    <mergeCell ref="E4:G4"/>
    <mergeCell ref="H4:I4"/>
    <mergeCell ref="A5:I5"/>
    <mergeCell ref="A6:A7"/>
    <mergeCell ref="B6:B7"/>
    <mergeCell ref="G6:G7"/>
    <mergeCell ref="H6:H7"/>
  </mergeCells>
  <pageMargins left="0.25" right="0.25" top="0.75" bottom="0.75" header="0.3" footer="0.3"/>
  <pageSetup scale="9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936A-C353-4465-859F-8409F398E9AE}">
  <sheetPr>
    <outlinePr summaryBelow="0"/>
    <pageSetUpPr fitToPage="1"/>
  </sheetPr>
  <dimension ref="A1:AH655"/>
  <sheetViews>
    <sheetView tabSelected="1" zoomScaleNormal="100" workbookViewId="0">
      <pane xSplit="3" ySplit="2" topLeftCell="S632" activePane="bottomRight" state="frozen"/>
      <selection pane="topRight" activeCell="D1" sqref="D1"/>
      <selection pane="bottomLeft" activeCell="A3" sqref="A3"/>
      <selection pane="bottomRight" activeCell="Z663" sqref="Z663"/>
    </sheetView>
  </sheetViews>
  <sheetFormatPr defaultColWidth="8" defaultRowHeight="15" outlineLevelRow="2" x14ac:dyDescent="0.25"/>
  <cols>
    <col min="1" max="1" width="6.5703125" style="56" customWidth="1"/>
    <col min="2" max="2" width="6" style="71" customWidth="1"/>
    <col min="3" max="3" width="38.28515625" style="56" customWidth="1"/>
    <col min="4" max="4" width="17.85546875" style="73" bestFit="1" customWidth="1"/>
    <col min="5" max="5" width="14.28515625" style="73" bestFit="1" customWidth="1"/>
    <col min="6" max="6" width="16.28515625" style="74" bestFit="1" customWidth="1"/>
    <col min="7" max="7" width="13.28515625" style="75" bestFit="1" customWidth="1"/>
    <col min="8" max="8" width="9.85546875" style="56" customWidth="1"/>
    <col min="9" max="9" width="13.42578125" style="73" bestFit="1" customWidth="1"/>
    <col min="10" max="10" width="11.5703125" style="75" bestFit="1" customWidth="1"/>
    <col min="11" max="11" width="15.28515625" style="73" bestFit="1" customWidth="1"/>
    <col min="12" max="12" width="15.7109375" style="73" bestFit="1" customWidth="1"/>
    <col min="13" max="13" width="13.28515625" style="75" bestFit="1" customWidth="1"/>
    <col min="14" max="14" width="9.140625" style="76" customWidth="1"/>
    <col min="15" max="15" width="11.5703125" style="75" bestFit="1" customWidth="1"/>
    <col min="16" max="16" width="15.28515625" style="73" bestFit="1" customWidth="1"/>
    <col min="17" max="17" width="15.7109375" style="73" bestFit="1" customWidth="1"/>
    <col min="18" max="18" width="13.28515625" style="75" bestFit="1" customWidth="1"/>
    <col min="19" max="19" width="9.140625" style="76" customWidth="1"/>
    <col min="20" max="20" width="11.5703125" style="75" customWidth="1"/>
    <col min="21" max="21" width="15.28515625" style="73" customWidth="1"/>
    <col min="22" max="22" width="15.7109375" style="73" customWidth="1"/>
    <col min="23" max="23" width="13.28515625" style="75" customWidth="1"/>
    <col min="24" max="24" width="9.140625" style="76" customWidth="1"/>
    <col min="25" max="25" width="11.5703125" style="75" customWidth="1"/>
    <col min="26" max="26" width="15.28515625" style="73" customWidth="1"/>
    <col min="27" max="27" width="15.7109375" style="73" customWidth="1"/>
    <col min="28" max="28" width="13.28515625" style="75" customWidth="1"/>
    <col min="29" max="29" width="9.28515625" style="76" customWidth="1"/>
    <col min="30" max="30" width="10.42578125" style="75" customWidth="1"/>
    <col min="31" max="31" width="13.5703125" style="73" customWidth="1"/>
    <col min="32" max="32" width="15.7109375" style="73" customWidth="1"/>
    <col min="33" max="33" width="13.28515625" style="75" customWidth="1"/>
    <col min="34" max="34" width="8.28515625" style="76" customWidth="1"/>
    <col min="35" max="273" width="8" style="56"/>
    <col min="274" max="274" width="7.5703125" style="56" customWidth="1"/>
    <col min="275" max="275" width="9.85546875" style="56" customWidth="1"/>
    <col min="276" max="276" width="41.42578125" style="56" customWidth="1"/>
    <col min="277" max="277" width="16" style="56" customWidth="1"/>
    <col min="278" max="278" width="13.85546875" style="56" customWidth="1"/>
    <col min="279" max="279" width="16.7109375" style="56" customWidth="1"/>
    <col min="280" max="280" width="8.7109375" style="56" customWidth="1"/>
    <col min="281" max="281" width="9" style="56" customWidth="1"/>
    <col min="282" max="282" width="13.5703125" style="56" bestFit="1" customWidth="1"/>
    <col min="283" max="286" width="13.5703125" style="56" customWidth="1"/>
    <col min="287" max="529" width="8" style="56"/>
    <col min="530" max="530" width="7.5703125" style="56" customWidth="1"/>
    <col min="531" max="531" width="9.85546875" style="56" customWidth="1"/>
    <col min="532" max="532" width="41.42578125" style="56" customWidth="1"/>
    <col min="533" max="533" width="16" style="56" customWidth="1"/>
    <col min="534" max="534" width="13.85546875" style="56" customWidth="1"/>
    <col min="535" max="535" width="16.7109375" style="56" customWidth="1"/>
    <col min="536" max="536" width="8.7109375" style="56" customWidth="1"/>
    <col min="537" max="537" width="9" style="56" customWidth="1"/>
    <col min="538" max="538" width="13.5703125" style="56" bestFit="1" customWidth="1"/>
    <col min="539" max="542" width="13.5703125" style="56" customWidth="1"/>
    <col min="543" max="785" width="8" style="56"/>
    <col min="786" max="786" width="7.5703125" style="56" customWidth="1"/>
    <col min="787" max="787" width="9.85546875" style="56" customWidth="1"/>
    <col min="788" max="788" width="41.42578125" style="56" customWidth="1"/>
    <col min="789" max="789" width="16" style="56" customWidth="1"/>
    <col min="790" max="790" width="13.85546875" style="56" customWidth="1"/>
    <col min="791" max="791" width="16.7109375" style="56" customWidth="1"/>
    <col min="792" max="792" width="8.7109375" style="56" customWidth="1"/>
    <col min="793" max="793" width="9" style="56" customWidth="1"/>
    <col min="794" max="794" width="13.5703125" style="56" bestFit="1" customWidth="1"/>
    <col min="795" max="798" width="13.5703125" style="56" customWidth="1"/>
    <col min="799" max="1041" width="8" style="56"/>
    <col min="1042" max="1042" width="7.5703125" style="56" customWidth="1"/>
    <col min="1043" max="1043" width="9.85546875" style="56" customWidth="1"/>
    <col min="1044" max="1044" width="41.42578125" style="56" customWidth="1"/>
    <col min="1045" max="1045" width="16" style="56" customWidth="1"/>
    <col min="1046" max="1046" width="13.85546875" style="56" customWidth="1"/>
    <col min="1047" max="1047" width="16.7109375" style="56" customWidth="1"/>
    <col min="1048" max="1048" width="8.7109375" style="56" customWidth="1"/>
    <col min="1049" max="1049" width="9" style="56" customWidth="1"/>
    <col min="1050" max="1050" width="13.5703125" style="56" bestFit="1" customWidth="1"/>
    <col min="1051" max="1054" width="13.5703125" style="56" customWidth="1"/>
    <col min="1055" max="1297" width="8" style="56"/>
    <col min="1298" max="1298" width="7.5703125" style="56" customWidth="1"/>
    <col min="1299" max="1299" width="9.85546875" style="56" customWidth="1"/>
    <col min="1300" max="1300" width="41.42578125" style="56" customWidth="1"/>
    <col min="1301" max="1301" width="16" style="56" customWidth="1"/>
    <col min="1302" max="1302" width="13.85546875" style="56" customWidth="1"/>
    <col min="1303" max="1303" width="16.7109375" style="56" customWidth="1"/>
    <col min="1304" max="1304" width="8.7109375" style="56" customWidth="1"/>
    <col min="1305" max="1305" width="9" style="56" customWidth="1"/>
    <col min="1306" max="1306" width="13.5703125" style="56" bestFit="1" customWidth="1"/>
    <col min="1307" max="1310" width="13.5703125" style="56" customWidth="1"/>
    <col min="1311" max="1553" width="8" style="56"/>
    <col min="1554" max="1554" width="7.5703125" style="56" customWidth="1"/>
    <col min="1555" max="1555" width="9.85546875" style="56" customWidth="1"/>
    <col min="1556" max="1556" width="41.42578125" style="56" customWidth="1"/>
    <col min="1557" max="1557" width="16" style="56" customWidth="1"/>
    <col min="1558" max="1558" width="13.85546875" style="56" customWidth="1"/>
    <col min="1559" max="1559" width="16.7109375" style="56" customWidth="1"/>
    <col min="1560" max="1560" width="8.7109375" style="56" customWidth="1"/>
    <col min="1561" max="1561" width="9" style="56" customWidth="1"/>
    <col min="1562" max="1562" width="13.5703125" style="56" bestFit="1" customWidth="1"/>
    <col min="1563" max="1566" width="13.5703125" style="56" customWidth="1"/>
    <col min="1567" max="1809" width="8" style="56"/>
    <col min="1810" max="1810" width="7.5703125" style="56" customWidth="1"/>
    <col min="1811" max="1811" width="9.85546875" style="56" customWidth="1"/>
    <col min="1812" max="1812" width="41.42578125" style="56" customWidth="1"/>
    <col min="1813" max="1813" width="16" style="56" customWidth="1"/>
    <col min="1814" max="1814" width="13.85546875" style="56" customWidth="1"/>
    <col min="1815" max="1815" width="16.7109375" style="56" customWidth="1"/>
    <col min="1816" max="1816" width="8.7109375" style="56" customWidth="1"/>
    <col min="1817" max="1817" width="9" style="56" customWidth="1"/>
    <col min="1818" max="1818" width="13.5703125" style="56" bestFit="1" customWidth="1"/>
    <col min="1819" max="1822" width="13.5703125" style="56" customWidth="1"/>
    <col min="1823" max="2065" width="8" style="56"/>
    <col min="2066" max="2066" width="7.5703125" style="56" customWidth="1"/>
    <col min="2067" max="2067" width="9.85546875" style="56" customWidth="1"/>
    <col min="2068" max="2068" width="41.42578125" style="56" customWidth="1"/>
    <col min="2069" max="2069" width="16" style="56" customWidth="1"/>
    <col min="2070" max="2070" width="13.85546875" style="56" customWidth="1"/>
    <col min="2071" max="2071" width="16.7109375" style="56" customWidth="1"/>
    <col min="2072" max="2072" width="8.7109375" style="56" customWidth="1"/>
    <col min="2073" max="2073" width="9" style="56" customWidth="1"/>
    <col min="2074" max="2074" width="13.5703125" style="56" bestFit="1" customWidth="1"/>
    <col min="2075" max="2078" width="13.5703125" style="56" customWidth="1"/>
    <col min="2079" max="2321" width="8" style="56"/>
    <col min="2322" max="2322" width="7.5703125" style="56" customWidth="1"/>
    <col min="2323" max="2323" width="9.85546875" style="56" customWidth="1"/>
    <col min="2324" max="2324" width="41.42578125" style="56" customWidth="1"/>
    <col min="2325" max="2325" width="16" style="56" customWidth="1"/>
    <col min="2326" max="2326" width="13.85546875" style="56" customWidth="1"/>
    <col min="2327" max="2327" width="16.7109375" style="56" customWidth="1"/>
    <col min="2328" max="2328" width="8.7109375" style="56" customWidth="1"/>
    <col min="2329" max="2329" width="9" style="56" customWidth="1"/>
    <col min="2330" max="2330" width="13.5703125" style="56" bestFit="1" customWidth="1"/>
    <col min="2331" max="2334" width="13.5703125" style="56" customWidth="1"/>
    <col min="2335" max="2577" width="8" style="56"/>
    <col min="2578" max="2578" width="7.5703125" style="56" customWidth="1"/>
    <col min="2579" max="2579" width="9.85546875" style="56" customWidth="1"/>
    <col min="2580" max="2580" width="41.42578125" style="56" customWidth="1"/>
    <col min="2581" max="2581" width="16" style="56" customWidth="1"/>
    <col min="2582" max="2582" width="13.85546875" style="56" customWidth="1"/>
    <col min="2583" max="2583" width="16.7109375" style="56" customWidth="1"/>
    <col min="2584" max="2584" width="8.7109375" style="56" customWidth="1"/>
    <col min="2585" max="2585" width="9" style="56" customWidth="1"/>
    <col min="2586" max="2586" width="13.5703125" style="56" bestFit="1" customWidth="1"/>
    <col min="2587" max="2590" width="13.5703125" style="56" customWidth="1"/>
    <col min="2591" max="2833" width="8" style="56"/>
    <col min="2834" max="2834" width="7.5703125" style="56" customWidth="1"/>
    <col min="2835" max="2835" width="9.85546875" style="56" customWidth="1"/>
    <col min="2836" max="2836" width="41.42578125" style="56" customWidth="1"/>
    <col min="2837" max="2837" width="16" style="56" customWidth="1"/>
    <col min="2838" max="2838" width="13.85546875" style="56" customWidth="1"/>
    <col min="2839" max="2839" width="16.7109375" style="56" customWidth="1"/>
    <col min="2840" max="2840" width="8.7109375" style="56" customWidth="1"/>
    <col min="2841" max="2841" width="9" style="56" customWidth="1"/>
    <col min="2842" max="2842" width="13.5703125" style="56" bestFit="1" customWidth="1"/>
    <col min="2843" max="2846" width="13.5703125" style="56" customWidth="1"/>
    <col min="2847" max="3089" width="8" style="56"/>
    <col min="3090" max="3090" width="7.5703125" style="56" customWidth="1"/>
    <col min="3091" max="3091" width="9.85546875" style="56" customWidth="1"/>
    <col min="3092" max="3092" width="41.42578125" style="56" customWidth="1"/>
    <col min="3093" max="3093" width="16" style="56" customWidth="1"/>
    <col min="3094" max="3094" width="13.85546875" style="56" customWidth="1"/>
    <col min="3095" max="3095" width="16.7109375" style="56" customWidth="1"/>
    <col min="3096" max="3096" width="8.7109375" style="56" customWidth="1"/>
    <col min="3097" max="3097" width="9" style="56" customWidth="1"/>
    <col min="3098" max="3098" width="13.5703125" style="56" bestFit="1" customWidth="1"/>
    <col min="3099" max="3102" width="13.5703125" style="56" customWidth="1"/>
    <col min="3103" max="3345" width="8" style="56"/>
    <col min="3346" max="3346" width="7.5703125" style="56" customWidth="1"/>
    <col min="3347" max="3347" width="9.85546875" style="56" customWidth="1"/>
    <col min="3348" max="3348" width="41.42578125" style="56" customWidth="1"/>
    <col min="3349" max="3349" width="16" style="56" customWidth="1"/>
    <col min="3350" max="3350" width="13.85546875" style="56" customWidth="1"/>
    <col min="3351" max="3351" width="16.7109375" style="56" customWidth="1"/>
    <col min="3352" max="3352" width="8.7109375" style="56" customWidth="1"/>
    <col min="3353" max="3353" width="9" style="56" customWidth="1"/>
    <col min="3354" max="3354" width="13.5703125" style="56" bestFit="1" customWidth="1"/>
    <col min="3355" max="3358" width="13.5703125" style="56" customWidth="1"/>
    <col min="3359" max="3601" width="8" style="56"/>
    <col min="3602" max="3602" width="7.5703125" style="56" customWidth="1"/>
    <col min="3603" max="3603" width="9.85546875" style="56" customWidth="1"/>
    <col min="3604" max="3604" width="41.42578125" style="56" customWidth="1"/>
    <col min="3605" max="3605" width="16" style="56" customWidth="1"/>
    <col min="3606" max="3606" width="13.85546875" style="56" customWidth="1"/>
    <col min="3607" max="3607" width="16.7109375" style="56" customWidth="1"/>
    <col min="3608" max="3608" width="8.7109375" style="56" customWidth="1"/>
    <col min="3609" max="3609" width="9" style="56" customWidth="1"/>
    <col min="3610" max="3610" width="13.5703125" style="56" bestFit="1" customWidth="1"/>
    <col min="3611" max="3614" width="13.5703125" style="56" customWidth="1"/>
    <col min="3615" max="3857" width="8" style="56"/>
    <col min="3858" max="3858" width="7.5703125" style="56" customWidth="1"/>
    <col min="3859" max="3859" width="9.85546875" style="56" customWidth="1"/>
    <col min="3860" max="3860" width="41.42578125" style="56" customWidth="1"/>
    <col min="3861" max="3861" width="16" style="56" customWidth="1"/>
    <col min="3862" max="3862" width="13.85546875" style="56" customWidth="1"/>
    <col min="3863" max="3863" width="16.7109375" style="56" customWidth="1"/>
    <col min="3864" max="3864" width="8.7109375" style="56" customWidth="1"/>
    <col min="3865" max="3865" width="9" style="56" customWidth="1"/>
    <col min="3866" max="3866" width="13.5703125" style="56" bestFit="1" customWidth="1"/>
    <col min="3867" max="3870" width="13.5703125" style="56" customWidth="1"/>
    <col min="3871" max="4113" width="8" style="56"/>
    <col min="4114" max="4114" width="7.5703125" style="56" customWidth="1"/>
    <col min="4115" max="4115" width="9.85546875" style="56" customWidth="1"/>
    <col min="4116" max="4116" width="41.42578125" style="56" customWidth="1"/>
    <col min="4117" max="4117" width="16" style="56" customWidth="1"/>
    <col min="4118" max="4118" width="13.85546875" style="56" customWidth="1"/>
    <col min="4119" max="4119" width="16.7109375" style="56" customWidth="1"/>
    <col min="4120" max="4120" width="8.7109375" style="56" customWidth="1"/>
    <col min="4121" max="4121" width="9" style="56" customWidth="1"/>
    <col min="4122" max="4122" width="13.5703125" style="56" bestFit="1" customWidth="1"/>
    <col min="4123" max="4126" width="13.5703125" style="56" customWidth="1"/>
    <col min="4127" max="4369" width="8" style="56"/>
    <col min="4370" max="4370" width="7.5703125" style="56" customWidth="1"/>
    <col min="4371" max="4371" width="9.85546875" style="56" customWidth="1"/>
    <col min="4372" max="4372" width="41.42578125" style="56" customWidth="1"/>
    <col min="4373" max="4373" width="16" style="56" customWidth="1"/>
    <col min="4374" max="4374" width="13.85546875" style="56" customWidth="1"/>
    <col min="4375" max="4375" width="16.7109375" style="56" customWidth="1"/>
    <col min="4376" max="4376" width="8.7109375" style="56" customWidth="1"/>
    <col min="4377" max="4377" width="9" style="56" customWidth="1"/>
    <col min="4378" max="4378" width="13.5703125" style="56" bestFit="1" customWidth="1"/>
    <col min="4379" max="4382" width="13.5703125" style="56" customWidth="1"/>
    <col min="4383" max="4625" width="8" style="56"/>
    <col min="4626" max="4626" width="7.5703125" style="56" customWidth="1"/>
    <col min="4627" max="4627" width="9.85546875" style="56" customWidth="1"/>
    <col min="4628" max="4628" width="41.42578125" style="56" customWidth="1"/>
    <col min="4629" max="4629" width="16" style="56" customWidth="1"/>
    <col min="4630" max="4630" width="13.85546875" style="56" customWidth="1"/>
    <col min="4631" max="4631" width="16.7109375" style="56" customWidth="1"/>
    <col min="4632" max="4632" width="8.7109375" style="56" customWidth="1"/>
    <col min="4633" max="4633" width="9" style="56" customWidth="1"/>
    <col min="4634" max="4634" width="13.5703125" style="56" bestFit="1" customWidth="1"/>
    <col min="4635" max="4638" width="13.5703125" style="56" customWidth="1"/>
    <col min="4639" max="4881" width="8" style="56"/>
    <col min="4882" max="4882" width="7.5703125" style="56" customWidth="1"/>
    <col min="4883" max="4883" width="9.85546875" style="56" customWidth="1"/>
    <col min="4884" max="4884" width="41.42578125" style="56" customWidth="1"/>
    <col min="4885" max="4885" width="16" style="56" customWidth="1"/>
    <col min="4886" max="4886" width="13.85546875" style="56" customWidth="1"/>
    <col min="4887" max="4887" width="16.7109375" style="56" customWidth="1"/>
    <col min="4888" max="4888" width="8.7109375" style="56" customWidth="1"/>
    <col min="4889" max="4889" width="9" style="56" customWidth="1"/>
    <col min="4890" max="4890" width="13.5703125" style="56" bestFit="1" customWidth="1"/>
    <col min="4891" max="4894" width="13.5703125" style="56" customWidth="1"/>
    <col min="4895" max="5137" width="8" style="56"/>
    <col min="5138" max="5138" width="7.5703125" style="56" customWidth="1"/>
    <col min="5139" max="5139" width="9.85546875" style="56" customWidth="1"/>
    <col min="5140" max="5140" width="41.42578125" style="56" customWidth="1"/>
    <col min="5141" max="5141" width="16" style="56" customWidth="1"/>
    <col min="5142" max="5142" width="13.85546875" style="56" customWidth="1"/>
    <col min="5143" max="5143" width="16.7109375" style="56" customWidth="1"/>
    <col min="5144" max="5144" width="8.7109375" style="56" customWidth="1"/>
    <col min="5145" max="5145" width="9" style="56" customWidth="1"/>
    <col min="5146" max="5146" width="13.5703125" style="56" bestFit="1" customWidth="1"/>
    <col min="5147" max="5150" width="13.5703125" style="56" customWidth="1"/>
    <col min="5151" max="5393" width="8" style="56"/>
    <col min="5394" max="5394" width="7.5703125" style="56" customWidth="1"/>
    <col min="5395" max="5395" width="9.85546875" style="56" customWidth="1"/>
    <col min="5396" max="5396" width="41.42578125" style="56" customWidth="1"/>
    <col min="5397" max="5397" width="16" style="56" customWidth="1"/>
    <col min="5398" max="5398" width="13.85546875" style="56" customWidth="1"/>
    <col min="5399" max="5399" width="16.7109375" style="56" customWidth="1"/>
    <col min="5400" max="5400" width="8.7109375" style="56" customWidth="1"/>
    <col min="5401" max="5401" width="9" style="56" customWidth="1"/>
    <col min="5402" max="5402" width="13.5703125" style="56" bestFit="1" customWidth="1"/>
    <col min="5403" max="5406" width="13.5703125" style="56" customWidth="1"/>
    <col min="5407" max="5649" width="8" style="56"/>
    <col min="5650" max="5650" width="7.5703125" style="56" customWidth="1"/>
    <col min="5651" max="5651" width="9.85546875" style="56" customWidth="1"/>
    <col min="5652" max="5652" width="41.42578125" style="56" customWidth="1"/>
    <col min="5653" max="5653" width="16" style="56" customWidth="1"/>
    <col min="5654" max="5654" width="13.85546875" style="56" customWidth="1"/>
    <col min="5655" max="5655" width="16.7109375" style="56" customWidth="1"/>
    <col min="5656" max="5656" width="8.7109375" style="56" customWidth="1"/>
    <col min="5657" max="5657" width="9" style="56" customWidth="1"/>
    <col min="5658" max="5658" width="13.5703125" style="56" bestFit="1" customWidth="1"/>
    <col min="5659" max="5662" width="13.5703125" style="56" customWidth="1"/>
    <col min="5663" max="5905" width="8" style="56"/>
    <col min="5906" max="5906" width="7.5703125" style="56" customWidth="1"/>
    <col min="5907" max="5907" width="9.85546875" style="56" customWidth="1"/>
    <col min="5908" max="5908" width="41.42578125" style="56" customWidth="1"/>
    <col min="5909" max="5909" width="16" style="56" customWidth="1"/>
    <col min="5910" max="5910" width="13.85546875" style="56" customWidth="1"/>
    <col min="5911" max="5911" width="16.7109375" style="56" customWidth="1"/>
    <col min="5912" max="5912" width="8.7109375" style="56" customWidth="1"/>
    <col min="5913" max="5913" width="9" style="56" customWidth="1"/>
    <col min="5914" max="5914" width="13.5703125" style="56" bestFit="1" customWidth="1"/>
    <col min="5915" max="5918" width="13.5703125" style="56" customWidth="1"/>
    <col min="5919" max="6161" width="8" style="56"/>
    <col min="6162" max="6162" width="7.5703125" style="56" customWidth="1"/>
    <col min="6163" max="6163" width="9.85546875" style="56" customWidth="1"/>
    <col min="6164" max="6164" width="41.42578125" style="56" customWidth="1"/>
    <col min="6165" max="6165" width="16" style="56" customWidth="1"/>
    <col min="6166" max="6166" width="13.85546875" style="56" customWidth="1"/>
    <col min="6167" max="6167" width="16.7109375" style="56" customWidth="1"/>
    <col min="6168" max="6168" width="8.7109375" style="56" customWidth="1"/>
    <col min="6169" max="6169" width="9" style="56" customWidth="1"/>
    <col min="6170" max="6170" width="13.5703125" style="56" bestFit="1" customWidth="1"/>
    <col min="6171" max="6174" width="13.5703125" style="56" customWidth="1"/>
    <col min="6175" max="6417" width="8" style="56"/>
    <col min="6418" max="6418" width="7.5703125" style="56" customWidth="1"/>
    <col min="6419" max="6419" width="9.85546875" style="56" customWidth="1"/>
    <col min="6420" max="6420" width="41.42578125" style="56" customWidth="1"/>
    <col min="6421" max="6421" width="16" style="56" customWidth="1"/>
    <col min="6422" max="6422" width="13.85546875" style="56" customWidth="1"/>
    <col min="6423" max="6423" width="16.7109375" style="56" customWidth="1"/>
    <col min="6424" max="6424" width="8.7109375" style="56" customWidth="1"/>
    <col min="6425" max="6425" width="9" style="56" customWidth="1"/>
    <col min="6426" max="6426" width="13.5703125" style="56" bestFit="1" customWidth="1"/>
    <col min="6427" max="6430" width="13.5703125" style="56" customWidth="1"/>
    <col min="6431" max="6673" width="8" style="56"/>
    <col min="6674" max="6674" width="7.5703125" style="56" customWidth="1"/>
    <col min="6675" max="6675" width="9.85546875" style="56" customWidth="1"/>
    <col min="6676" max="6676" width="41.42578125" style="56" customWidth="1"/>
    <col min="6677" max="6677" width="16" style="56" customWidth="1"/>
    <col min="6678" max="6678" width="13.85546875" style="56" customWidth="1"/>
    <col min="6679" max="6679" width="16.7109375" style="56" customWidth="1"/>
    <col min="6680" max="6680" width="8.7109375" style="56" customWidth="1"/>
    <col min="6681" max="6681" width="9" style="56" customWidth="1"/>
    <col min="6682" max="6682" width="13.5703125" style="56" bestFit="1" customWidth="1"/>
    <col min="6683" max="6686" width="13.5703125" style="56" customWidth="1"/>
    <col min="6687" max="6929" width="8" style="56"/>
    <col min="6930" max="6930" width="7.5703125" style="56" customWidth="1"/>
    <col min="6931" max="6931" width="9.85546875" style="56" customWidth="1"/>
    <col min="6932" max="6932" width="41.42578125" style="56" customWidth="1"/>
    <col min="6933" max="6933" width="16" style="56" customWidth="1"/>
    <col min="6934" max="6934" width="13.85546875" style="56" customWidth="1"/>
    <col min="6935" max="6935" width="16.7109375" style="56" customWidth="1"/>
    <col min="6936" max="6936" width="8.7109375" style="56" customWidth="1"/>
    <col min="6937" max="6937" width="9" style="56" customWidth="1"/>
    <col min="6938" max="6938" width="13.5703125" style="56" bestFit="1" customWidth="1"/>
    <col min="6939" max="6942" width="13.5703125" style="56" customWidth="1"/>
    <col min="6943" max="7185" width="8" style="56"/>
    <col min="7186" max="7186" width="7.5703125" style="56" customWidth="1"/>
    <col min="7187" max="7187" width="9.85546875" style="56" customWidth="1"/>
    <col min="7188" max="7188" width="41.42578125" style="56" customWidth="1"/>
    <col min="7189" max="7189" width="16" style="56" customWidth="1"/>
    <col min="7190" max="7190" width="13.85546875" style="56" customWidth="1"/>
    <col min="7191" max="7191" width="16.7109375" style="56" customWidth="1"/>
    <col min="7192" max="7192" width="8.7109375" style="56" customWidth="1"/>
    <col min="7193" max="7193" width="9" style="56" customWidth="1"/>
    <col min="7194" max="7194" width="13.5703125" style="56" bestFit="1" customWidth="1"/>
    <col min="7195" max="7198" width="13.5703125" style="56" customWidth="1"/>
    <col min="7199" max="7441" width="8" style="56"/>
    <col min="7442" max="7442" width="7.5703125" style="56" customWidth="1"/>
    <col min="7443" max="7443" width="9.85546875" style="56" customWidth="1"/>
    <col min="7444" max="7444" width="41.42578125" style="56" customWidth="1"/>
    <col min="7445" max="7445" width="16" style="56" customWidth="1"/>
    <col min="7446" max="7446" width="13.85546875" style="56" customWidth="1"/>
    <col min="7447" max="7447" width="16.7109375" style="56" customWidth="1"/>
    <col min="7448" max="7448" width="8.7109375" style="56" customWidth="1"/>
    <col min="7449" max="7449" width="9" style="56" customWidth="1"/>
    <col min="7450" max="7450" width="13.5703125" style="56" bestFit="1" customWidth="1"/>
    <col min="7451" max="7454" width="13.5703125" style="56" customWidth="1"/>
    <col min="7455" max="7697" width="8" style="56"/>
    <col min="7698" max="7698" width="7.5703125" style="56" customWidth="1"/>
    <col min="7699" max="7699" width="9.85546875" style="56" customWidth="1"/>
    <col min="7700" max="7700" width="41.42578125" style="56" customWidth="1"/>
    <col min="7701" max="7701" width="16" style="56" customWidth="1"/>
    <col min="7702" max="7702" width="13.85546875" style="56" customWidth="1"/>
    <col min="7703" max="7703" width="16.7109375" style="56" customWidth="1"/>
    <col min="7704" max="7704" width="8.7109375" style="56" customWidth="1"/>
    <col min="7705" max="7705" width="9" style="56" customWidth="1"/>
    <col min="7706" max="7706" width="13.5703125" style="56" bestFit="1" customWidth="1"/>
    <col min="7707" max="7710" width="13.5703125" style="56" customWidth="1"/>
    <col min="7711" max="7953" width="8" style="56"/>
    <col min="7954" max="7954" width="7.5703125" style="56" customWidth="1"/>
    <col min="7955" max="7955" width="9.85546875" style="56" customWidth="1"/>
    <col min="7956" max="7956" width="41.42578125" style="56" customWidth="1"/>
    <col min="7957" max="7957" width="16" style="56" customWidth="1"/>
    <col min="7958" max="7958" width="13.85546875" style="56" customWidth="1"/>
    <col min="7959" max="7959" width="16.7109375" style="56" customWidth="1"/>
    <col min="7960" max="7960" width="8.7109375" style="56" customWidth="1"/>
    <col min="7961" max="7961" width="9" style="56" customWidth="1"/>
    <col min="7962" max="7962" width="13.5703125" style="56" bestFit="1" customWidth="1"/>
    <col min="7963" max="7966" width="13.5703125" style="56" customWidth="1"/>
    <col min="7967" max="8209" width="8" style="56"/>
    <col min="8210" max="8210" width="7.5703125" style="56" customWidth="1"/>
    <col min="8211" max="8211" width="9.85546875" style="56" customWidth="1"/>
    <col min="8212" max="8212" width="41.42578125" style="56" customWidth="1"/>
    <col min="8213" max="8213" width="16" style="56" customWidth="1"/>
    <col min="8214" max="8214" width="13.85546875" style="56" customWidth="1"/>
    <col min="8215" max="8215" width="16.7109375" style="56" customWidth="1"/>
    <col min="8216" max="8216" width="8.7109375" style="56" customWidth="1"/>
    <col min="8217" max="8217" width="9" style="56" customWidth="1"/>
    <col min="8218" max="8218" width="13.5703125" style="56" bestFit="1" customWidth="1"/>
    <col min="8219" max="8222" width="13.5703125" style="56" customWidth="1"/>
    <col min="8223" max="8465" width="8" style="56"/>
    <col min="8466" max="8466" width="7.5703125" style="56" customWidth="1"/>
    <col min="8467" max="8467" width="9.85546875" style="56" customWidth="1"/>
    <col min="8468" max="8468" width="41.42578125" style="56" customWidth="1"/>
    <col min="8469" max="8469" width="16" style="56" customWidth="1"/>
    <col min="8470" max="8470" width="13.85546875" style="56" customWidth="1"/>
    <col min="8471" max="8471" width="16.7109375" style="56" customWidth="1"/>
    <col min="8472" max="8472" width="8.7109375" style="56" customWidth="1"/>
    <col min="8473" max="8473" width="9" style="56" customWidth="1"/>
    <col min="8474" max="8474" width="13.5703125" style="56" bestFit="1" customWidth="1"/>
    <col min="8475" max="8478" width="13.5703125" style="56" customWidth="1"/>
    <col min="8479" max="8721" width="8" style="56"/>
    <col min="8722" max="8722" width="7.5703125" style="56" customWidth="1"/>
    <col min="8723" max="8723" width="9.85546875" style="56" customWidth="1"/>
    <col min="8724" max="8724" width="41.42578125" style="56" customWidth="1"/>
    <col min="8725" max="8725" width="16" style="56" customWidth="1"/>
    <col min="8726" max="8726" width="13.85546875" style="56" customWidth="1"/>
    <col min="8727" max="8727" width="16.7109375" style="56" customWidth="1"/>
    <col min="8728" max="8728" width="8.7109375" style="56" customWidth="1"/>
    <col min="8729" max="8729" width="9" style="56" customWidth="1"/>
    <col min="8730" max="8730" width="13.5703125" style="56" bestFit="1" customWidth="1"/>
    <col min="8731" max="8734" width="13.5703125" style="56" customWidth="1"/>
    <col min="8735" max="8977" width="8" style="56"/>
    <col min="8978" max="8978" width="7.5703125" style="56" customWidth="1"/>
    <col min="8979" max="8979" width="9.85546875" style="56" customWidth="1"/>
    <col min="8980" max="8980" width="41.42578125" style="56" customWidth="1"/>
    <col min="8981" max="8981" width="16" style="56" customWidth="1"/>
    <col min="8982" max="8982" width="13.85546875" style="56" customWidth="1"/>
    <col min="8983" max="8983" width="16.7109375" style="56" customWidth="1"/>
    <col min="8984" max="8984" width="8.7109375" style="56" customWidth="1"/>
    <col min="8985" max="8985" width="9" style="56" customWidth="1"/>
    <col min="8986" max="8986" width="13.5703125" style="56" bestFit="1" customWidth="1"/>
    <col min="8987" max="8990" width="13.5703125" style="56" customWidth="1"/>
    <col min="8991" max="9233" width="8" style="56"/>
    <col min="9234" max="9234" width="7.5703125" style="56" customWidth="1"/>
    <col min="9235" max="9235" width="9.85546875" style="56" customWidth="1"/>
    <col min="9236" max="9236" width="41.42578125" style="56" customWidth="1"/>
    <col min="9237" max="9237" width="16" style="56" customWidth="1"/>
    <col min="9238" max="9238" width="13.85546875" style="56" customWidth="1"/>
    <col min="9239" max="9239" width="16.7109375" style="56" customWidth="1"/>
    <col min="9240" max="9240" width="8.7109375" style="56" customWidth="1"/>
    <col min="9241" max="9241" width="9" style="56" customWidth="1"/>
    <col min="9242" max="9242" width="13.5703125" style="56" bestFit="1" customWidth="1"/>
    <col min="9243" max="9246" width="13.5703125" style="56" customWidth="1"/>
    <col min="9247" max="9489" width="8" style="56"/>
    <col min="9490" max="9490" width="7.5703125" style="56" customWidth="1"/>
    <col min="9491" max="9491" width="9.85546875" style="56" customWidth="1"/>
    <col min="9492" max="9492" width="41.42578125" style="56" customWidth="1"/>
    <col min="9493" max="9493" width="16" style="56" customWidth="1"/>
    <col min="9494" max="9494" width="13.85546875" style="56" customWidth="1"/>
    <col min="9495" max="9495" width="16.7109375" style="56" customWidth="1"/>
    <col min="9496" max="9496" width="8.7109375" style="56" customWidth="1"/>
    <col min="9497" max="9497" width="9" style="56" customWidth="1"/>
    <col min="9498" max="9498" width="13.5703125" style="56" bestFit="1" customWidth="1"/>
    <col min="9499" max="9502" width="13.5703125" style="56" customWidth="1"/>
    <col min="9503" max="9745" width="8" style="56"/>
    <col min="9746" max="9746" width="7.5703125" style="56" customWidth="1"/>
    <col min="9747" max="9747" width="9.85546875" style="56" customWidth="1"/>
    <col min="9748" max="9748" width="41.42578125" style="56" customWidth="1"/>
    <col min="9749" max="9749" width="16" style="56" customWidth="1"/>
    <col min="9750" max="9750" width="13.85546875" style="56" customWidth="1"/>
    <col min="9751" max="9751" width="16.7109375" style="56" customWidth="1"/>
    <col min="9752" max="9752" width="8.7109375" style="56" customWidth="1"/>
    <col min="9753" max="9753" width="9" style="56" customWidth="1"/>
    <col min="9754" max="9754" width="13.5703125" style="56" bestFit="1" customWidth="1"/>
    <col min="9755" max="9758" width="13.5703125" style="56" customWidth="1"/>
    <col min="9759" max="10001" width="8" style="56"/>
    <col min="10002" max="10002" width="7.5703125" style="56" customWidth="1"/>
    <col min="10003" max="10003" width="9.85546875" style="56" customWidth="1"/>
    <col min="10004" max="10004" width="41.42578125" style="56" customWidth="1"/>
    <col min="10005" max="10005" width="16" style="56" customWidth="1"/>
    <col min="10006" max="10006" width="13.85546875" style="56" customWidth="1"/>
    <col min="10007" max="10007" width="16.7109375" style="56" customWidth="1"/>
    <col min="10008" max="10008" width="8.7109375" style="56" customWidth="1"/>
    <col min="10009" max="10009" width="9" style="56" customWidth="1"/>
    <col min="10010" max="10010" width="13.5703125" style="56" bestFit="1" customWidth="1"/>
    <col min="10011" max="10014" width="13.5703125" style="56" customWidth="1"/>
    <col min="10015" max="10257" width="8" style="56"/>
    <col min="10258" max="10258" width="7.5703125" style="56" customWidth="1"/>
    <col min="10259" max="10259" width="9.85546875" style="56" customWidth="1"/>
    <col min="10260" max="10260" width="41.42578125" style="56" customWidth="1"/>
    <col min="10261" max="10261" width="16" style="56" customWidth="1"/>
    <col min="10262" max="10262" width="13.85546875" style="56" customWidth="1"/>
    <col min="10263" max="10263" width="16.7109375" style="56" customWidth="1"/>
    <col min="10264" max="10264" width="8.7109375" style="56" customWidth="1"/>
    <col min="10265" max="10265" width="9" style="56" customWidth="1"/>
    <col min="10266" max="10266" width="13.5703125" style="56" bestFit="1" customWidth="1"/>
    <col min="10267" max="10270" width="13.5703125" style="56" customWidth="1"/>
    <col min="10271" max="10513" width="8" style="56"/>
    <col min="10514" max="10514" width="7.5703125" style="56" customWidth="1"/>
    <col min="10515" max="10515" width="9.85546875" style="56" customWidth="1"/>
    <col min="10516" max="10516" width="41.42578125" style="56" customWidth="1"/>
    <col min="10517" max="10517" width="16" style="56" customWidth="1"/>
    <col min="10518" max="10518" width="13.85546875" style="56" customWidth="1"/>
    <col min="10519" max="10519" width="16.7109375" style="56" customWidth="1"/>
    <col min="10520" max="10520" width="8.7109375" style="56" customWidth="1"/>
    <col min="10521" max="10521" width="9" style="56" customWidth="1"/>
    <col min="10522" max="10522" width="13.5703125" style="56" bestFit="1" customWidth="1"/>
    <col min="10523" max="10526" width="13.5703125" style="56" customWidth="1"/>
    <col min="10527" max="10769" width="8" style="56"/>
    <col min="10770" max="10770" width="7.5703125" style="56" customWidth="1"/>
    <col min="10771" max="10771" width="9.85546875" style="56" customWidth="1"/>
    <col min="10772" max="10772" width="41.42578125" style="56" customWidth="1"/>
    <col min="10773" max="10773" width="16" style="56" customWidth="1"/>
    <col min="10774" max="10774" width="13.85546875" style="56" customWidth="1"/>
    <col min="10775" max="10775" width="16.7109375" style="56" customWidth="1"/>
    <col min="10776" max="10776" width="8.7109375" style="56" customWidth="1"/>
    <col min="10777" max="10777" width="9" style="56" customWidth="1"/>
    <col min="10778" max="10778" width="13.5703125" style="56" bestFit="1" customWidth="1"/>
    <col min="10779" max="10782" width="13.5703125" style="56" customWidth="1"/>
    <col min="10783" max="11025" width="8" style="56"/>
    <col min="11026" max="11026" width="7.5703125" style="56" customWidth="1"/>
    <col min="11027" max="11027" width="9.85546875" style="56" customWidth="1"/>
    <col min="11028" max="11028" width="41.42578125" style="56" customWidth="1"/>
    <col min="11029" max="11029" width="16" style="56" customWidth="1"/>
    <col min="11030" max="11030" width="13.85546875" style="56" customWidth="1"/>
    <col min="11031" max="11031" width="16.7109375" style="56" customWidth="1"/>
    <col min="11032" max="11032" width="8.7109375" style="56" customWidth="1"/>
    <col min="11033" max="11033" width="9" style="56" customWidth="1"/>
    <col min="11034" max="11034" width="13.5703125" style="56" bestFit="1" customWidth="1"/>
    <col min="11035" max="11038" width="13.5703125" style="56" customWidth="1"/>
    <col min="11039" max="11281" width="8" style="56"/>
    <col min="11282" max="11282" width="7.5703125" style="56" customWidth="1"/>
    <col min="11283" max="11283" width="9.85546875" style="56" customWidth="1"/>
    <col min="11284" max="11284" width="41.42578125" style="56" customWidth="1"/>
    <col min="11285" max="11285" width="16" style="56" customWidth="1"/>
    <col min="11286" max="11286" width="13.85546875" style="56" customWidth="1"/>
    <col min="11287" max="11287" width="16.7109375" style="56" customWidth="1"/>
    <col min="11288" max="11288" width="8.7109375" style="56" customWidth="1"/>
    <col min="11289" max="11289" width="9" style="56" customWidth="1"/>
    <col min="11290" max="11290" width="13.5703125" style="56" bestFit="1" customWidth="1"/>
    <col min="11291" max="11294" width="13.5703125" style="56" customWidth="1"/>
    <col min="11295" max="11537" width="8" style="56"/>
    <col min="11538" max="11538" width="7.5703125" style="56" customWidth="1"/>
    <col min="11539" max="11539" width="9.85546875" style="56" customWidth="1"/>
    <col min="11540" max="11540" width="41.42578125" style="56" customWidth="1"/>
    <col min="11541" max="11541" width="16" style="56" customWidth="1"/>
    <col min="11542" max="11542" width="13.85546875" style="56" customWidth="1"/>
    <col min="11543" max="11543" width="16.7109375" style="56" customWidth="1"/>
    <col min="11544" max="11544" width="8.7109375" style="56" customWidth="1"/>
    <col min="11545" max="11545" width="9" style="56" customWidth="1"/>
    <col min="11546" max="11546" width="13.5703125" style="56" bestFit="1" customWidth="1"/>
    <col min="11547" max="11550" width="13.5703125" style="56" customWidth="1"/>
    <col min="11551" max="11793" width="8" style="56"/>
    <col min="11794" max="11794" width="7.5703125" style="56" customWidth="1"/>
    <col min="11795" max="11795" width="9.85546875" style="56" customWidth="1"/>
    <col min="11796" max="11796" width="41.42578125" style="56" customWidth="1"/>
    <col min="11797" max="11797" width="16" style="56" customWidth="1"/>
    <col min="11798" max="11798" width="13.85546875" style="56" customWidth="1"/>
    <col min="11799" max="11799" width="16.7109375" style="56" customWidth="1"/>
    <col min="11800" max="11800" width="8.7109375" style="56" customWidth="1"/>
    <col min="11801" max="11801" width="9" style="56" customWidth="1"/>
    <col min="11802" max="11802" width="13.5703125" style="56" bestFit="1" customWidth="1"/>
    <col min="11803" max="11806" width="13.5703125" style="56" customWidth="1"/>
    <col min="11807" max="12049" width="8" style="56"/>
    <col min="12050" max="12050" width="7.5703125" style="56" customWidth="1"/>
    <col min="12051" max="12051" width="9.85546875" style="56" customWidth="1"/>
    <col min="12052" max="12052" width="41.42578125" style="56" customWidth="1"/>
    <col min="12053" max="12053" width="16" style="56" customWidth="1"/>
    <col min="12054" max="12054" width="13.85546875" style="56" customWidth="1"/>
    <col min="12055" max="12055" width="16.7109375" style="56" customWidth="1"/>
    <col min="12056" max="12056" width="8.7109375" style="56" customWidth="1"/>
    <col min="12057" max="12057" width="9" style="56" customWidth="1"/>
    <col min="12058" max="12058" width="13.5703125" style="56" bestFit="1" customWidth="1"/>
    <col min="12059" max="12062" width="13.5703125" style="56" customWidth="1"/>
    <col min="12063" max="12305" width="8" style="56"/>
    <col min="12306" max="12306" width="7.5703125" style="56" customWidth="1"/>
    <col min="12307" max="12307" width="9.85546875" style="56" customWidth="1"/>
    <col min="12308" max="12308" width="41.42578125" style="56" customWidth="1"/>
    <col min="12309" max="12309" width="16" style="56" customWidth="1"/>
    <col min="12310" max="12310" width="13.85546875" style="56" customWidth="1"/>
    <col min="12311" max="12311" width="16.7109375" style="56" customWidth="1"/>
    <col min="12312" max="12312" width="8.7109375" style="56" customWidth="1"/>
    <col min="12313" max="12313" width="9" style="56" customWidth="1"/>
    <col min="12314" max="12314" width="13.5703125" style="56" bestFit="1" customWidth="1"/>
    <col min="12315" max="12318" width="13.5703125" style="56" customWidth="1"/>
    <col min="12319" max="12561" width="8" style="56"/>
    <col min="12562" max="12562" width="7.5703125" style="56" customWidth="1"/>
    <col min="12563" max="12563" width="9.85546875" style="56" customWidth="1"/>
    <col min="12564" max="12564" width="41.42578125" style="56" customWidth="1"/>
    <col min="12565" max="12565" width="16" style="56" customWidth="1"/>
    <col min="12566" max="12566" width="13.85546875" style="56" customWidth="1"/>
    <col min="12567" max="12567" width="16.7109375" style="56" customWidth="1"/>
    <col min="12568" max="12568" width="8.7109375" style="56" customWidth="1"/>
    <col min="12569" max="12569" width="9" style="56" customWidth="1"/>
    <col min="12570" max="12570" width="13.5703125" style="56" bestFit="1" customWidth="1"/>
    <col min="12571" max="12574" width="13.5703125" style="56" customWidth="1"/>
    <col min="12575" max="12817" width="8" style="56"/>
    <col min="12818" max="12818" width="7.5703125" style="56" customWidth="1"/>
    <col min="12819" max="12819" width="9.85546875" style="56" customWidth="1"/>
    <col min="12820" max="12820" width="41.42578125" style="56" customWidth="1"/>
    <col min="12821" max="12821" width="16" style="56" customWidth="1"/>
    <col min="12822" max="12822" width="13.85546875" style="56" customWidth="1"/>
    <col min="12823" max="12823" width="16.7109375" style="56" customWidth="1"/>
    <col min="12824" max="12824" width="8.7109375" style="56" customWidth="1"/>
    <col min="12825" max="12825" width="9" style="56" customWidth="1"/>
    <col min="12826" max="12826" width="13.5703125" style="56" bestFit="1" customWidth="1"/>
    <col min="12827" max="12830" width="13.5703125" style="56" customWidth="1"/>
    <col min="12831" max="13073" width="8" style="56"/>
    <col min="13074" max="13074" width="7.5703125" style="56" customWidth="1"/>
    <col min="13075" max="13075" width="9.85546875" style="56" customWidth="1"/>
    <col min="13076" max="13076" width="41.42578125" style="56" customWidth="1"/>
    <col min="13077" max="13077" width="16" style="56" customWidth="1"/>
    <col min="13078" max="13078" width="13.85546875" style="56" customWidth="1"/>
    <col min="13079" max="13079" width="16.7109375" style="56" customWidth="1"/>
    <col min="13080" max="13080" width="8.7109375" style="56" customWidth="1"/>
    <col min="13081" max="13081" width="9" style="56" customWidth="1"/>
    <col min="13082" max="13082" width="13.5703125" style="56" bestFit="1" customWidth="1"/>
    <col min="13083" max="13086" width="13.5703125" style="56" customWidth="1"/>
    <col min="13087" max="13329" width="8" style="56"/>
    <col min="13330" max="13330" width="7.5703125" style="56" customWidth="1"/>
    <col min="13331" max="13331" width="9.85546875" style="56" customWidth="1"/>
    <col min="13332" max="13332" width="41.42578125" style="56" customWidth="1"/>
    <col min="13333" max="13333" width="16" style="56" customWidth="1"/>
    <col min="13334" max="13334" width="13.85546875" style="56" customWidth="1"/>
    <col min="13335" max="13335" width="16.7109375" style="56" customWidth="1"/>
    <col min="13336" max="13336" width="8.7109375" style="56" customWidth="1"/>
    <col min="13337" max="13337" width="9" style="56" customWidth="1"/>
    <col min="13338" max="13338" width="13.5703125" style="56" bestFit="1" customWidth="1"/>
    <col min="13339" max="13342" width="13.5703125" style="56" customWidth="1"/>
    <col min="13343" max="13585" width="8" style="56"/>
    <col min="13586" max="13586" width="7.5703125" style="56" customWidth="1"/>
    <col min="13587" max="13587" width="9.85546875" style="56" customWidth="1"/>
    <col min="13588" max="13588" width="41.42578125" style="56" customWidth="1"/>
    <col min="13589" max="13589" width="16" style="56" customWidth="1"/>
    <col min="13590" max="13590" width="13.85546875" style="56" customWidth="1"/>
    <col min="13591" max="13591" width="16.7109375" style="56" customWidth="1"/>
    <col min="13592" max="13592" width="8.7109375" style="56" customWidth="1"/>
    <col min="13593" max="13593" width="9" style="56" customWidth="1"/>
    <col min="13594" max="13594" width="13.5703125" style="56" bestFit="1" customWidth="1"/>
    <col min="13595" max="13598" width="13.5703125" style="56" customWidth="1"/>
    <col min="13599" max="13841" width="8" style="56"/>
    <col min="13842" max="13842" width="7.5703125" style="56" customWidth="1"/>
    <col min="13843" max="13843" width="9.85546875" style="56" customWidth="1"/>
    <col min="13844" max="13844" width="41.42578125" style="56" customWidth="1"/>
    <col min="13845" max="13845" width="16" style="56" customWidth="1"/>
    <col min="13846" max="13846" width="13.85546875" style="56" customWidth="1"/>
    <col min="13847" max="13847" width="16.7109375" style="56" customWidth="1"/>
    <col min="13848" max="13848" width="8.7109375" style="56" customWidth="1"/>
    <col min="13849" max="13849" width="9" style="56" customWidth="1"/>
    <col min="13850" max="13850" width="13.5703125" style="56" bestFit="1" customWidth="1"/>
    <col min="13851" max="13854" width="13.5703125" style="56" customWidth="1"/>
    <col min="13855" max="14097" width="8" style="56"/>
    <col min="14098" max="14098" width="7.5703125" style="56" customWidth="1"/>
    <col min="14099" max="14099" width="9.85546875" style="56" customWidth="1"/>
    <col min="14100" max="14100" width="41.42578125" style="56" customWidth="1"/>
    <col min="14101" max="14101" width="16" style="56" customWidth="1"/>
    <col min="14102" max="14102" width="13.85546875" style="56" customWidth="1"/>
    <col min="14103" max="14103" width="16.7109375" style="56" customWidth="1"/>
    <col min="14104" max="14104" width="8.7109375" style="56" customWidth="1"/>
    <col min="14105" max="14105" width="9" style="56" customWidth="1"/>
    <col min="14106" max="14106" width="13.5703125" style="56" bestFit="1" customWidth="1"/>
    <col min="14107" max="14110" width="13.5703125" style="56" customWidth="1"/>
    <col min="14111" max="14353" width="8" style="56"/>
    <col min="14354" max="14354" width="7.5703125" style="56" customWidth="1"/>
    <col min="14355" max="14355" width="9.85546875" style="56" customWidth="1"/>
    <col min="14356" max="14356" width="41.42578125" style="56" customWidth="1"/>
    <col min="14357" max="14357" width="16" style="56" customWidth="1"/>
    <col min="14358" max="14358" width="13.85546875" style="56" customWidth="1"/>
    <col min="14359" max="14359" width="16.7109375" style="56" customWidth="1"/>
    <col min="14360" max="14360" width="8.7109375" style="56" customWidth="1"/>
    <col min="14361" max="14361" width="9" style="56" customWidth="1"/>
    <col min="14362" max="14362" width="13.5703125" style="56" bestFit="1" customWidth="1"/>
    <col min="14363" max="14366" width="13.5703125" style="56" customWidth="1"/>
    <col min="14367" max="14609" width="8" style="56"/>
    <col min="14610" max="14610" width="7.5703125" style="56" customWidth="1"/>
    <col min="14611" max="14611" width="9.85546875" style="56" customWidth="1"/>
    <col min="14612" max="14612" width="41.42578125" style="56" customWidth="1"/>
    <col min="14613" max="14613" width="16" style="56" customWidth="1"/>
    <col min="14614" max="14614" width="13.85546875" style="56" customWidth="1"/>
    <col min="14615" max="14615" width="16.7109375" style="56" customWidth="1"/>
    <col min="14616" max="14616" width="8.7109375" style="56" customWidth="1"/>
    <col min="14617" max="14617" width="9" style="56" customWidth="1"/>
    <col min="14618" max="14618" width="13.5703125" style="56" bestFit="1" customWidth="1"/>
    <col min="14619" max="14622" width="13.5703125" style="56" customWidth="1"/>
    <col min="14623" max="14865" width="8" style="56"/>
    <col min="14866" max="14866" width="7.5703125" style="56" customWidth="1"/>
    <col min="14867" max="14867" width="9.85546875" style="56" customWidth="1"/>
    <col min="14868" max="14868" width="41.42578125" style="56" customWidth="1"/>
    <col min="14869" max="14869" width="16" style="56" customWidth="1"/>
    <col min="14870" max="14870" width="13.85546875" style="56" customWidth="1"/>
    <col min="14871" max="14871" width="16.7109375" style="56" customWidth="1"/>
    <col min="14872" max="14872" width="8.7109375" style="56" customWidth="1"/>
    <col min="14873" max="14873" width="9" style="56" customWidth="1"/>
    <col min="14874" max="14874" width="13.5703125" style="56" bestFit="1" customWidth="1"/>
    <col min="14875" max="14878" width="13.5703125" style="56" customWidth="1"/>
    <col min="14879" max="15121" width="8" style="56"/>
    <col min="15122" max="15122" width="7.5703125" style="56" customWidth="1"/>
    <col min="15123" max="15123" width="9.85546875" style="56" customWidth="1"/>
    <col min="15124" max="15124" width="41.42578125" style="56" customWidth="1"/>
    <col min="15125" max="15125" width="16" style="56" customWidth="1"/>
    <col min="15126" max="15126" width="13.85546875" style="56" customWidth="1"/>
    <col min="15127" max="15127" width="16.7109375" style="56" customWidth="1"/>
    <col min="15128" max="15128" width="8.7109375" style="56" customWidth="1"/>
    <col min="15129" max="15129" width="9" style="56" customWidth="1"/>
    <col min="15130" max="15130" width="13.5703125" style="56" bestFit="1" customWidth="1"/>
    <col min="15131" max="15134" width="13.5703125" style="56" customWidth="1"/>
    <col min="15135" max="15377" width="8" style="56"/>
    <col min="15378" max="15378" width="7.5703125" style="56" customWidth="1"/>
    <col min="15379" max="15379" width="9.85546875" style="56" customWidth="1"/>
    <col min="15380" max="15380" width="41.42578125" style="56" customWidth="1"/>
    <col min="15381" max="15381" width="16" style="56" customWidth="1"/>
    <col min="15382" max="15382" width="13.85546875" style="56" customWidth="1"/>
    <col min="15383" max="15383" width="16.7109375" style="56" customWidth="1"/>
    <col min="15384" max="15384" width="8.7109375" style="56" customWidth="1"/>
    <col min="15385" max="15385" width="9" style="56" customWidth="1"/>
    <col min="15386" max="15386" width="13.5703125" style="56" bestFit="1" customWidth="1"/>
    <col min="15387" max="15390" width="13.5703125" style="56" customWidth="1"/>
    <col min="15391" max="15633" width="8" style="56"/>
    <col min="15634" max="15634" width="7.5703125" style="56" customWidth="1"/>
    <col min="15635" max="15635" width="9.85546875" style="56" customWidth="1"/>
    <col min="15636" max="15636" width="41.42578125" style="56" customWidth="1"/>
    <col min="15637" max="15637" width="16" style="56" customWidth="1"/>
    <col min="15638" max="15638" width="13.85546875" style="56" customWidth="1"/>
    <col min="15639" max="15639" width="16.7109375" style="56" customWidth="1"/>
    <col min="15640" max="15640" width="8.7109375" style="56" customWidth="1"/>
    <col min="15641" max="15641" width="9" style="56" customWidth="1"/>
    <col min="15642" max="15642" width="13.5703125" style="56" bestFit="1" customWidth="1"/>
    <col min="15643" max="15646" width="13.5703125" style="56" customWidth="1"/>
    <col min="15647" max="15889" width="8" style="56"/>
    <col min="15890" max="15890" width="7.5703125" style="56" customWidth="1"/>
    <col min="15891" max="15891" width="9.85546875" style="56" customWidth="1"/>
    <col min="15892" max="15892" width="41.42578125" style="56" customWidth="1"/>
    <col min="15893" max="15893" width="16" style="56" customWidth="1"/>
    <col min="15894" max="15894" width="13.85546875" style="56" customWidth="1"/>
    <col min="15895" max="15895" width="16.7109375" style="56" customWidth="1"/>
    <col min="15896" max="15896" width="8.7109375" style="56" customWidth="1"/>
    <col min="15897" max="15897" width="9" style="56" customWidth="1"/>
    <col min="15898" max="15898" width="13.5703125" style="56" bestFit="1" customWidth="1"/>
    <col min="15899" max="15902" width="13.5703125" style="56" customWidth="1"/>
    <col min="15903" max="16145" width="8" style="56"/>
    <col min="16146" max="16146" width="7.5703125" style="56" customWidth="1"/>
    <col min="16147" max="16147" width="9.85546875" style="56" customWidth="1"/>
    <col min="16148" max="16148" width="41.42578125" style="56" customWidth="1"/>
    <col min="16149" max="16149" width="16" style="56" customWidth="1"/>
    <col min="16150" max="16150" width="13.85546875" style="56" customWidth="1"/>
    <col min="16151" max="16151" width="16.7109375" style="56" customWidth="1"/>
    <col min="16152" max="16152" width="8.7109375" style="56" customWidth="1"/>
    <col min="16153" max="16153" width="9" style="56" customWidth="1"/>
    <col min="16154" max="16154" width="13.5703125" style="56" bestFit="1" customWidth="1"/>
    <col min="16155" max="16158" width="13.5703125" style="56" customWidth="1"/>
    <col min="16159" max="16384" width="8" style="56"/>
  </cols>
  <sheetData>
    <row r="1" spans="1:34" x14ac:dyDescent="0.25">
      <c r="A1" s="106" t="s">
        <v>0</v>
      </c>
      <c r="B1" s="106" t="s">
        <v>1</v>
      </c>
      <c r="C1" s="106" t="s">
        <v>2</v>
      </c>
      <c r="D1" s="107" t="s">
        <v>3</v>
      </c>
      <c r="E1" s="105" t="s">
        <v>4</v>
      </c>
      <c r="F1" s="107" t="s">
        <v>5</v>
      </c>
      <c r="G1" s="108" t="s">
        <v>6</v>
      </c>
      <c r="H1" s="106" t="s">
        <v>7</v>
      </c>
      <c r="I1" s="105" t="s">
        <v>8</v>
      </c>
      <c r="J1" s="111">
        <v>46016</v>
      </c>
      <c r="K1" s="111"/>
      <c r="L1" s="111"/>
      <c r="M1" s="111"/>
      <c r="N1" s="111"/>
      <c r="O1" s="109">
        <v>45986</v>
      </c>
      <c r="P1" s="109"/>
      <c r="Q1" s="109"/>
      <c r="R1" s="109"/>
      <c r="S1" s="109"/>
      <c r="T1" s="110">
        <v>45955</v>
      </c>
      <c r="U1" s="110"/>
      <c r="V1" s="110"/>
      <c r="W1" s="110"/>
      <c r="X1" s="110"/>
      <c r="Y1" s="109">
        <v>45925</v>
      </c>
      <c r="Z1" s="109"/>
      <c r="AA1" s="109"/>
      <c r="AB1" s="109"/>
      <c r="AC1" s="109"/>
      <c r="AD1" s="104">
        <v>45894</v>
      </c>
      <c r="AE1" s="104"/>
      <c r="AF1" s="104"/>
      <c r="AG1" s="104"/>
      <c r="AH1" s="104"/>
    </row>
    <row r="2" spans="1:34" x14ac:dyDescent="0.25">
      <c r="A2" s="106"/>
      <c r="B2" s="106"/>
      <c r="C2" s="106"/>
      <c r="D2" s="107"/>
      <c r="E2" s="105"/>
      <c r="F2" s="107"/>
      <c r="G2" s="108"/>
      <c r="H2" s="106"/>
      <c r="I2" s="105"/>
      <c r="J2" s="89" t="s">
        <v>6</v>
      </c>
      <c r="K2" s="90" t="s">
        <v>9</v>
      </c>
      <c r="L2" s="90" t="s">
        <v>10</v>
      </c>
      <c r="M2" s="89" t="s">
        <v>11</v>
      </c>
      <c r="N2" s="91" t="s">
        <v>107</v>
      </c>
      <c r="O2" s="89" t="s">
        <v>6</v>
      </c>
      <c r="P2" s="90" t="s">
        <v>9</v>
      </c>
      <c r="Q2" s="90" t="s">
        <v>10</v>
      </c>
      <c r="R2" s="89" t="s">
        <v>11</v>
      </c>
      <c r="S2" s="91" t="s">
        <v>107</v>
      </c>
      <c r="T2" s="89" t="s">
        <v>6</v>
      </c>
      <c r="U2" s="90" t="s">
        <v>9</v>
      </c>
      <c r="V2" s="90" t="s">
        <v>10</v>
      </c>
      <c r="W2" s="89" t="s">
        <v>11</v>
      </c>
      <c r="X2" s="91" t="s">
        <v>107</v>
      </c>
      <c r="Y2" s="84" t="s">
        <v>6</v>
      </c>
      <c r="Z2" s="85" t="s">
        <v>9</v>
      </c>
      <c r="AA2" s="85" t="s">
        <v>10</v>
      </c>
      <c r="AB2" s="84" t="s">
        <v>11</v>
      </c>
      <c r="AC2" s="86" t="s">
        <v>107</v>
      </c>
      <c r="AD2" s="57" t="s">
        <v>6</v>
      </c>
      <c r="AE2" s="58" t="s">
        <v>9</v>
      </c>
      <c r="AF2" s="58" t="s">
        <v>10</v>
      </c>
      <c r="AG2" s="57" t="s">
        <v>11</v>
      </c>
      <c r="AH2" s="59" t="s">
        <v>107</v>
      </c>
    </row>
    <row r="3" spans="1:34" x14ac:dyDescent="0.25">
      <c r="A3" s="60">
        <v>1</v>
      </c>
      <c r="B3" s="60"/>
      <c r="C3" s="61" t="s">
        <v>121</v>
      </c>
      <c r="D3" s="62">
        <f>_xlfn.XLOOKUP(A3,SOV!$A$9:$A$27,SOV!$C$9:$C$27)</f>
        <v>40400</v>
      </c>
      <c r="E3" s="62">
        <v>29138.080000000002</v>
      </c>
      <c r="F3" s="62">
        <f>SUM(F4)</f>
        <v>40400</v>
      </c>
      <c r="G3" s="63"/>
      <c r="H3" s="64"/>
      <c r="I3" s="62"/>
      <c r="J3" s="63"/>
      <c r="K3" s="62">
        <f>SUM(K4)</f>
        <v>2020</v>
      </c>
      <c r="L3" s="62">
        <f>+Q3-K4</f>
        <v>26260</v>
      </c>
      <c r="M3" s="62"/>
      <c r="N3" s="65"/>
      <c r="O3" s="63"/>
      <c r="P3" s="62">
        <f>SUM(P4)</f>
        <v>2020</v>
      </c>
      <c r="Q3" s="62">
        <f>+V3-P4</f>
        <v>28280</v>
      </c>
      <c r="R3" s="62"/>
      <c r="S3" s="65"/>
      <c r="T3" s="63"/>
      <c r="U3" s="62">
        <f>SUM(U4)</f>
        <v>2020</v>
      </c>
      <c r="V3" s="62">
        <f>+AA3-U4</f>
        <v>30300</v>
      </c>
      <c r="W3" s="62"/>
      <c r="X3" s="65"/>
      <c r="Y3" s="63"/>
      <c r="Z3" s="62">
        <f>SUM(Z4)</f>
        <v>2020</v>
      </c>
      <c r="AA3" s="62">
        <f t="shared" ref="AA3" si="0">SUM(AA4)</f>
        <v>32320</v>
      </c>
      <c r="AB3" s="62"/>
      <c r="AC3" s="65"/>
      <c r="AD3" s="63"/>
      <c r="AE3" s="62">
        <f>SUM(AE4)</f>
        <v>6060</v>
      </c>
      <c r="AF3" s="62">
        <f t="shared" ref="AF3" si="1">SUM(AF4)</f>
        <v>34340</v>
      </c>
      <c r="AG3" s="62"/>
      <c r="AH3" s="65"/>
    </row>
    <row r="4" spans="1:34" ht="16.5" customHeight="1" outlineLevel="1" x14ac:dyDescent="0.25">
      <c r="A4" s="66"/>
      <c r="B4" s="66"/>
      <c r="C4" s="67" t="s">
        <v>122</v>
      </c>
      <c r="D4" s="68"/>
      <c r="E4" s="68">
        <v>29138.080000000002</v>
      </c>
      <c r="F4" s="68">
        <f>$D$3/$E$3*E4</f>
        <v>40400</v>
      </c>
      <c r="G4" s="69">
        <v>1</v>
      </c>
      <c r="H4" s="67" t="s">
        <v>34</v>
      </c>
      <c r="I4" s="68">
        <f>F4/G4</f>
        <v>40400</v>
      </c>
      <c r="J4" s="69">
        <v>0.05</v>
      </c>
      <c r="K4" s="68">
        <f>+J4*$I4</f>
        <v>2020</v>
      </c>
      <c r="L4" s="62">
        <f>+Q4-K4</f>
        <v>26260</v>
      </c>
      <c r="M4" s="69">
        <f>+R4-J4</f>
        <v>0.6499999999999998</v>
      </c>
      <c r="N4" s="70">
        <f t="shared" ref="N4" si="2">100%-(L4/$F4)</f>
        <v>0.35</v>
      </c>
      <c r="O4" s="69">
        <v>0.05</v>
      </c>
      <c r="P4" s="68">
        <f>+O4*$I4</f>
        <v>2020</v>
      </c>
      <c r="Q4" s="62">
        <f>+V4-P4</f>
        <v>28280</v>
      </c>
      <c r="R4" s="69">
        <f>+W4-O4</f>
        <v>0.69999999999999984</v>
      </c>
      <c r="S4" s="70">
        <f t="shared" ref="S4" si="3">100%-(Q4/$F4)</f>
        <v>0.30000000000000004</v>
      </c>
      <c r="T4" s="69">
        <v>0.05</v>
      </c>
      <c r="U4" s="68">
        <f>+T4*$I4</f>
        <v>2020</v>
      </c>
      <c r="V4" s="62">
        <f>+AA4-U4</f>
        <v>30300</v>
      </c>
      <c r="W4" s="69">
        <f>+AB4-T4</f>
        <v>0.74999999999999989</v>
      </c>
      <c r="X4" s="70">
        <f t="shared" ref="X4" si="4">100%-(V4/$F4)</f>
        <v>0.25</v>
      </c>
      <c r="Y4" s="69">
        <v>0.05</v>
      </c>
      <c r="Z4" s="68">
        <f>Y4*I4</f>
        <v>2020</v>
      </c>
      <c r="AA4" s="68">
        <f>+AF4-Z4</f>
        <v>32320</v>
      </c>
      <c r="AB4" s="69">
        <f>+AG4-Y4</f>
        <v>0.79999999999999993</v>
      </c>
      <c r="AC4" s="70">
        <f t="shared" ref="AC4" si="5">100%-(AA4/$F4)</f>
        <v>0.19999999999999996</v>
      </c>
      <c r="AD4" s="69">
        <v>0.15</v>
      </c>
      <c r="AE4" s="68">
        <f>AD4*I4</f>
        <v>6060</v>
      </c>
      <c r="AF4" s="68">
        <f>F4-AE4</f>
        <v>34340</v>
      </c>
      <c r="AG4" s="69">
        <f>G4-AD4</f>
        <v>0.85</v>
      </c>
      <c r="AH4" s="70">
        <f t="shared" ref="AH4" si="6">100%-(AF4/$F4)</f>
        <v>0.15000000000000002</v>
      </c>
    </row>
    <row r="5" spans="1:34" ht="16.5" customHeight="1" outlineLevel="2" x14ac:dyDescent="0.25">
      <c r="B5" s="71">
        <v>2100</v>
      </c>
      <c r="C5" s="72" t="s">
        <v>122</v>
      </c>
      <c r="E5" s="73">
        <v>29138.080000000002</v>
      </c>
      <c r="F5" s="74">
        <f>$D$3/$E$3*E5</f>
        <v>40400</v>
      </c>
      <c r="G5" s="75">
        <v>1</v>
      </c>
      <c r="H5" s="56" t="s">
        <v>34</v>
      </c>
      <c r="I5" s="73">
        <f>F5/G5</f>
        <v>40400</v>
      </c>
      <c r="J5" s="75">
        <f>J4</f>
        <v>0.05</v>
      </c>
      <c r="L5" s="62">
        <f t="shared" ref="L5" si="7">+Q5-K5</f>
        <v>0</v>
      </c>
      <c r="O5" s="75">
        <f>O4</f>
        <v>0.05</v>
      </c>
      <c r="Q5" s="62">
        <f t="shared" ref="Q5" si="8">+V5-P5</f>
        <v>0</v>
      </c>
      <c r="T5" s="75">
        <f>T4</f>
        <v>0.05</v>
      </c>
      <c r="V5" s="62">
        <f t="shared" ref="V5:V68" si="9">+AA5-U5</f>
        <v>0</v>
      </c>
      <c r="Y5" s="75">
        <f>Y4</f>
        <v>0.05</v>
      </c>
      <c r="AA5" s="68">
        <f t="shared" ref="AA5:AA68" si="10">+AF5-Z5</f>
        <v>0</v>
      </c>
      <c r="AD5" s="75">
        <f>AD4</f>
        <v>0.15</v>
      </c>
    </row>
    <row r="6" spans="1:34" ht="16.5" customHeight="1" x14ac:dyDescent="0.25">
      <c r="A6" s="60">
        <v>2</v>
      </c>
      <c r="B6" s="60"/>
      <c r="C6" s="61" t="s">
        <v>32</v>
      </c>
      <c r="D6" s="62">
        <f>_xlfn.XLOOKUP(A6,SOV!$A$9:$A$27,SOV!$C$9:$C$27)</f>
        <v>582300</v>
      </c>
      <c r="E6" s="62">
        <v>422513.36</v>
      </c>
      <c r="F6" s="62">
        <f>SUM(F7,F9,F13,F17,F21,F25,F33,F41,F45,F49,F53,F61,F65,F69,F77,F81)</f>
        <v>582299.98621818761</v>
      </c>
      <c r="G6" s="63"/>
      <c r="H6" s="64"/>
      <c r="I6" s="62"/>
      <c r="J6" s="63"/>
      <c r="K6" s="62">
        <f>SUM(K7:K84)</f>
        <v>57531.747924719697</v>
      </c>
      <c r="L6" s="62">
        <f>SUM(L7:L81)</f>
        <v>516681.9250606742</v>
      </c>
      <c r="M6" s="63"/>
      <c r="N6" s="65"/>
      <c r="O6" s="63"/>
      <c r="P6" s="62">
        <f>SUM(P7:P84)</f>
        <v>0</v>
      </c>
      <c r="Q6" s="62">
        <f>SUM(Q7:Q81)</f>
        <v>574213.67298539414</v>
      </c>
      <c r="R6" s="63"/>
      <c r="S6" s="65"/>
      <c r="T6" s="63"/>
      <c r="U6" s="62">
        <f>SUM(U7:U84)</f>
        <v>0</v>
      </c>
      <c r="V6" s="62">
        <f>SUM(V7:V81)</f>
        <v>574213.67298539414</v>
      </c>
      <c r="W6" s="63"/>
      <c r="X6" s="65"/>
      <c r="Y6" s="63"/>
      <c r="Z6" s="62">
        <f>SUM(Z7:Z84)</f>
        <v>1164.5631749964075</v>
      </c>
      <c r="AA6" s="68">
        <f t="shared" si="10"/>
        <v>574213.67298539414</v>
      </c>
      <c r="AB6" s="63"/>
      <c r="AC6" s="65"/>
      <c r="AD6" s="63"/>
      <c r="AE6" s="62">
        <f>SUM(AE7:AE84)</f>
        <v>6921.7500577969895</v>
      </c>
      <c r="AF6" s="62">
        <f>SUM(AF7:AF84)</f>
        <v>575378.23616039054</v>
      </c>
      <c r="AG6" s="63"/>
      <c r="AH6" s="65"/>
    </row>
    <row r="7" spans="1:34" ht="16.5" customHeight="1" outlineLevel="1" x14ac:dyDescent="0.25">
      <c r="A7" s="67"/>
      <c r="B7" s="66"/>
      <c r="C7" s="67" t="s">
        <v>123</v>
      </c>
      <c r="D7" s="68"/>
      <c r="E7" s="68">
        <v>16900</v>
      </c>
      <c r="F7" s="68">
        <f>$D$6/$E$6*E7</f>
        <v>23291.263499928147</v>
      </c>
      <c r="G7" s="69">
        <v>1</v>
      </c>
      <c r="H7" s="67" t="s">
        <v>34</v>
      </c>
      <c r="I7" s="68">
        <f t="shared" ref="I7:I71" si="11">F7/G7</f>
        <v>23291.263499928147</v>
      </c>
      <c r="J7" s="69">
        <v>0.75</v>
      </c>
      <c r="K7" s="68">
        <f>+J7*$I7</f>
        <v>17468.447624946111</v>
      </c>
      <c r="L7" s="62">
        <f t="shared" ref="L7:L70" si="12">+Q7-K7</f>
        <v>1164.563174996405</v>
      </c>
      <c r="M7" s="69">
        <f t="shared" ref="M7:M70" si="13">+R7-J7</f>
        <v>4.9999999999999933E-2</v>
      </c>
      <c r="N7" s="70">
        <f t="shared" ref="N7" si="14">100%-(L7/$F7)</f>
        <v>0.95000000000000007</v>
      </c>
      <c r="O7" s="69"/>
      <c r="P7" s="68">
        <f>O7*I7</f>
        <v>0</v>
      </c>
      <c r="Q7" s="62">
        <f t="shared" ref="Q7:Q70" si="15">+V7-P7</f>
        <v>18633.010799942516</v>
      </c>
      <c r="R7" s="69">
        <f t="shared" ref="R7:R70" si="16">+W7-O7</f>
        <v>0.79999999999999993</v>
      </c>
      <c r="S7" s="70">
        <f t="shared" ref="S7" si="17">100%-(Q7/$F7)</f>
        <v>0.20000000000000007</v>
      </c>
      <c r="T7" s="69"/>
      <c r="U7" s="68">
        <f t="shared" ref="U7:U38" si="18">T7*D7</f>
        <v>0</v>
      </c>
      <c r="V7" s="62">
        <f t="shared" si="9"/>
        <v>18633.010799942516</v>
      </c>
      <c r="W7" s="69">
        <f t="shared" ref="W7:W70" si="19">+AB7-T7</f>
        <v>0.79999999999999993</v>
      </c>
      <c r="X7" s="70">
        <f t="shared" ref="X7" si="20">100%-(V7/$F7)</f>
        <v>0.20000000000000007</v>
      </c>
      <c r="Y7" s="69">
        <v>0.05</v>
      </c>
      <c r="Z7" s="68">
        <f t="shared" ref="Z7:Z38" si="21">Y7*I7</f>
        <v>1164.5631749964075</v>
      </c>
      <c r="AA7" s="68">
        <f t="shared" si="10"/>
        <v>18633.010799942516</v>
      </c>
      <c r="AB7" s="69">
        <f t="shared" ref="AB7:AB70" si="22">+AG7-Y7</f>
        <v>0.79999999999999993</v>
      </c>
      <c r="AC7" s="70">
        <f t="shared" ref="AC7" si="23">100%-(AA7/$F7)</f>
        <v>0.20000000000000007</v>
      </c>
      <c r="AD7" s="69">
        <v>0.15</v>
      </c>
      <c r="AE7" s="68">
        <f>AD7*I7</f>
        <v>3493.6895249892218</v>
      </c>
      <c r="AF7" s="68">
        <f>F7-AE7</f>
        <v>19797.573974938925</v>
      </c>
      <c r="AG7" s="69">
        <f>G7-AD7</f>
        <v>0.85</v>
      </c>
      <c r="AH7" s="70">
        <f t="shared" ref="AH7:AH9" si="24">100%-(AF7/$F7)</f>
        <v>0.15000000000000002</v>
      </c>
    </row>
    <row r="8" spans="1:34" ht="16.5" customHeight="1" outlineLevel="2" x14ac:dyDescent="0.25">
      <c r="B8" s="71">
        <v>2402</v>
      </c>
      <c r="C8" s="72" t="s">
        <v>123</v>
      </c>
      <c r="E8" s="73">
        <v>16900</v>
      </c>
      <c r="F8" s="74">
        <f>$D$6/$E$6*E8</f>
        <v>23291.263499928147</v>
      </c>
      <c r="G8" s="75">
        <v>1</v>
      </c>
      <c r="H8" s="56" t="s">
        <v>34</v>
      </c>
      <c r="I8" s="73">
        <f t="shared" ref="I8" si="25">F8/G8</f>
        <v>23291.263499928147</v>
      </c>
      <c r="K8" s="68">
        <f t="shared" ref="K8:K71" si="26">+J8*$I8</f>
        <v>0</v>
      </c>
      <c r="L8" s="62">
        <f t="shared" si="12"/>
        <v>0</v>
      </c>
      <c r="M8" s="69">
        <f t="shared" si="13"/>
        <v>0</v>
      </c>
      <c r="P8" s="68">
        <f t="shared" ref="P8:P71" si="27">O8*I8</f>
        <v>0</v>
      </c>
      <c r="Q8" s="62">
        <f t="shared" si="15"/>
        <v>0</v>
      </c>
      <c r="R8" s="69">
        <f t="shared" si="16"/>
        <v>0</v>
      </c>
      <c r="U8" s="68">
        <f t="shared" si="18"/>
        <v>0</v>
      </c>
      <c r="V8" s="62">
        <f t="shared" si="9"/>
        <v>0</v>
      </c>
      <c r="W8" s="69">
        <f t="shared" si="19"/>
        <v>0</v>
      </c>
      <c r="Z8" s="68">
        <f t="shared" si="21"/>
        <v>0</v>
      </c>
      <c r="AA8" s="68">
        <f t="shared" si="10"/>
        <v>0</v>
      </c>
      <c r="AB8" s="69">
        <f t="shared" si="22"/>
        <v>0</v>
      </c>
      <c r="AD8" s="75">
        <f>AD7</f>
        <v>0.15</v>
      </c>
    </row>
    <row r="9" spans="1:34" ht="15" customHeight="1" outlineLevel="1" x14ac:dyDescent="0.25">
      <c r="A9" s="67"/>
      <c r="B9" s="66"/>
      <c r="C9" s="67" t="s">
        <v>124</v>
      </c>
      <c r="D9" s="68"/>
      <c r="E9" s="68">
        <v>16075.12</v>
      </c>
      <c r="F9" s="68">
        <f t="shared" ref="F9:F72" si="28">$D$6/$E$6*E9</f>
        <v>22154.429332128104</v>
      </c>
      <c r="G9" s="69">
        <v>17303</v>
      </c>
      <c r="H9" s="67" t="s">
        <v>41</v>
      </c>
      <c r="I9" s="68">
        <f t="shared" si="11"/>
        <v>1.2803808202119924</v>
      </c>
      <c r="J9" s="69">
        <v>8003</v>
      </c>
      <c r="K9" s="68">
        <f t="shared" si="26"/>
        <v>10246.887704156576</v>
      </c>
      <c r="L9" s="62">
        <f t="shared" si="12"/>
        <v>11907.541627971528</v>
      </c>
      <c r="M9" s="69">
        <f t="shared" si="13"/>
        <v>9300</v>
      </c>
      <c r="N9" s="70">
        <f t="shared" ref="N9" si="29">100%-(L9/$F9)</f>
        <v>0.46252095012425598</v>
      </c>
      <c r="O9" s="69">
        <v>0</v>
      </c>
      <c r="P9" s="68">
        <f t="shared" si="27"/>
        <v>0</v>
      </c>
      <c r="Q9" s="62">
        <f t="shared" si="15"/>
        <v>22154.429332128104</v>
      </c>
      <c r="R9" s="69">
        <f t="shared" si="16"/>
        <v>17303</v>
      </c>
      <c r="S9" s="70">
        <f t="shared" ref="S9" si="30">100%-(Q9/$F9)</f>
        <v>0</v>
      </c>
      <c r="T9" s="69">
        <v>0</v>
      </c>
      <c r="U9" s="68">
        <f t="shared" si="18"/>
        <v>0</v>
      </c>
      <c r="V9" s="62">
        <f t="shared" si="9"/>
        <v>22154.429332128104</v>
      </c>
      <c r="W9" s="69">
        <f t="shared" si="19"/>
        <v>17303</v>
      </c>
      <c r="X9" s="70">
        <f t="shared" ref="X9" si="31">100%-(V9/$F9)</f>
        <v>0</v>
      </c>
      <c r="Y9" s="69">
        <v>0</v>
      </c>
      <c r="Z9" s="68">
        <f t="shared" si="21"/>
        <v>0</v>
      </c>
      <c r="AA9" s="68">
        <f t="shared" si="10"/>
        <v>22154.429332128104</v>
      </c>
      <c r="AB9" s="69">
        <f t="shared" si="22"/>
        <v>17303</v>
      </c>
      <c r="AC9" s="70">
        <f t="shared" ref="AC9" si="32">100%-(AA9/$F9)</f>
        <v>0</v>
      </c>
      <c r="AD9" s="69">
        <v>0</v>
      </c>
      <c r="AE9" s="68">
        <f>AD9*I9</f>
        <v>0</v>
      </c>
      <c r="AF9" s="68">
        <f>F9-AE9</f>
        <v>22154.429332128104</v>
      </c>
      <c r="AG9" s="69">
        <f>G9-AD9</f>
        <v>17303</v>
      </c>
      <c r="AH9" s="70">
        <f t="shared" si="24"/>
        <v>0</v>
      </c>
    </row>
    <row r="10" spans="1:34" outlineLevel="2" x14ac:dyDescent="0.25">
      <c r="B10" s="71">
        <v>2420</v>
      </c>
      <c r="C10" s="72" t="s">
        <v>125</v>
      </c>
      <c r="E10" s="73">
        <v>6663.73</v>
      </c>
      <c r="F10" s="74">
        <f t="shared" si="28"/>
        <v>9183.8278888979985</v>
      </c>
      <c r="G10" s="75">
        <v>17303</v>
      </c>
      <c r="H10" s="56" t="s">
        <v>41</v>
      </c>
      <c r="I10" s="73">
        <f t="shared" si="11"/>
        <v>0.53076506322013517</v>
      </c>
      <c r="J10" s="69"/>
      <c r="K10" s="68">
        <f t="shared" si="26"/>
        <v>0</v>
      </c>
      <c r="L10" s="62">
        <f t="shared" si="12"/>
        <v>0</v>
      </c>
      <c r="M10" s="69">
        <f t="shared" si="13"/>
        <v>0</v>
      </c>
      <c r="O10" s="69"/>
      <c r="P10" s="68">
        <f t="shared" si="27"/>
        <v>0</v>
      </c>
      <c r="Q10" s="62">
        <f t="shared" si="15"/>
        <v>0</v>
      </c>
      <c r="R10" s="69">
        <f t="shared" si="16"/>
        <v>0</v>
      </c>
      <c r="T10" s="69"/>
      <c r="U10" s="68">
        <f t="shared" si="18"/>
        <v>0</v>
      </c>
      <c r="V10" s="62">
        <f t="shared" si="9"/>
        <v>0</v>
      </c>
      <c r="W10" s="69">
        <f t="shared" si="19"/>
        <v>0</v>
      </c>
      <c r="Y10" s="69">
        <f>$AD$9*B10/$G$9</f>
        <v>0</v>
      </c>
      <c r="Z10" s="68">
        <f t="shared" si="21"/>
        <v>0</v>
      </c>
      <c r="AA10" s="68">
        <f t="shared" si="10"/>
        <v>0</v>
      </c>
      <c r="AB10" s="69">
        <f t="shared" si="22"/>
        <v>0</v>
      </c>
      <c r="AD10" s="69">
        <f>$AD$9*G10/$G$9</f>
        <v>0</v>
      </c>
    </row>
    <row r="11" spans="1:34" outlineLevel="2" x14ac:dyDescent="0.25">
      <c r="B11" s="71">
        <v>2490</v>
      </c>
      <c r="C11" s="72" t="s">
        <v>37</v>
      </c>
      <c r="E11" s="73">
        <v>2850.67</v>
      </c>
      <c r="F11" s="74">
        <f t="shared" si="28"/>
        <v>3928.740007179892</v>
      </c>
      <c r="G11" s="75">
        <v>432.58</v>
      </c>
      <c r="H11" s="56" t="s">
        <v>43</v>
      </c>
      <c r="I11" s="73">
        <f t="shared" si="11"/>
        <v>9.0821119958849046</v>
      </c>
      <c r="J11" s="69"/>
      <c r="K11" s="68">
        <f t="shared" si="26"/>
        <v>0</v>
      </c>
      <c r="L11" s="62">
        <f t="shared" si="12"/>
        <v>0</v>
      </c>
      <c r="M11" s="69">
        <f t="shared" si="13"/>
        <v>0</v>
      </c>
      <c r="O11" s="69"/>
      <c r="P11" s="68">
        <f t="shared" si="27"/>
        <v>0</v>
      </c>
      <c r="Q11" s="62">
        <f t="shared" si="15"/>
        <v>0</v>
      </c>
      <c r="R11" s="69">
        <f t="shared" si="16"/>
        <v>0</v>
      </c>
      <c r="T11" s="69"/>
      <c r="U11" s="68">
        <f t="shared" si="18"/>
        <v>0</v>
      </c>
      <c r="V11" s="62">
        <f t="shared" si="9"/>
        <v>0</v>
      </c>
      <c r="W11" s="69">
        <f t="shared" si="19"/>
        <v>0</v>
      </c>
      <c r="Y11" s="69">
        <f>$AD$9*B11/$G$9</f>
        <v>0</v>
      </c>
      <c r="Z11" s="68">
        <f t="shared" si="21"/>
        <v>0</v>
      </c>
      <c r="AA11" s="68">
        <f t="shared" si="10"/>
        <v>0</v>
      </c>
      <c r="AB11" s="69">
        <f t="shared" si="22"/>
        <v>0</v>
      </c>
      <c r="AD11" s="69">
        <f>$AD$9*G11/$G$9</f>
        <v>0</v>
      </c>
    </row>
    <row r="12" spans="1:34" outlineLevel="2" x14ac:dyDescent="0.25">
      <c r="B12" s="71">
        <v>2150</v>
      </c>
      <c r="C12" s="72" t="s">
        <v>38</v>
      </c>
      <c r="E12" s="73">
        <v>6560.72</v>
      </c>
      <c r="F12" s="74">
        <f t="shared" si="28"/>
        <v>9041.8614360502124</v>
      </c>
      <c r="G12" s="75">
        <v>432.58</v>
      </c>
      <c r="H12" s="56" t="s">
        <v>43</v>
      </c>
      <c r="I12" s="73">
        <f t="shared" si="11"/>
        <v>20.902171704771863</v>
      </c>
      <c r="J12" s="69"/>
      <c r="K12" s="68">
        <f t="shared" si="26"/>
        <v>0</v>
      </c>
      <c r="L12" s="62">
        <f t="shared" si="12"/>
        <v>0</v>
      </c>
      <c r="M12" s="69">
        <f t="shared" si="13"/>
        <v>0</v>
      </c>
      <c r="O12" s="69"/>
      <c r="P12" s="68">
        <f t="shared" si="27"/>
        <v>0</v>
      </c>
      <c r="Q12" s="62">
        <f t="shared" si="15"/>
        <v>0</v>
      </c>
      <c r="R12" s="69">
        <f t="shared" si="16"/>
        <v>0</v>
      </c>
      <c r="T12" s="69"/>
      <c r="U12" s="68">
        <f t="shared" si="18"/>
        <v>0</v>
      </c>
      <c r="V12" s="62">
        <f t="shared" si="9"/>
        <v>0</v>
      </c>
      <c r="W12" s="69">
        <f t="shared" si="19"/>
        <v>0</v>
      </c>
      <c r="Y12" s="69">
        <f>$AD$9*B12/$G$9</f>
        <v>0</v>
      </c>
      <c r="Z12" s="68">
        <f t="shared" si="21"/>
        <v>0</v>
      </c>
      <c r="AA12" s="68">
        <f t="shared" si="10"/>
        <v>0</v>
      </c>
      <c r="AB12" s="69">
        <f t="shared" si="22"/>
        <v>0</v>
      </c>
      <c r="AD12" s="69">
        <f>$AD$9*G12/$G$9</f>
        <v>0</v>
      </c>
    </row>
    <row r="13" spans="1:34" outlineLevel="1" x14ac:dyDescent="0.25">
      <c r="A13" s="67"/>
      <c r="B13" s="66"/>
      <c r="C13" s="67" t="s">
        <v>126</v>
      </c>
      <c r="D13" s="68"/>
      <c r="E13" s="68">
        <v>98784.18</v>
      </c>
      <c r="F13" s="68">
        <f t="shared" si="28"/>
        <v>136142.50686416164</v>
      </c>
      <c r="G13" s="69">
        <v>147064</v>
      </c>
      <c r="H13" s="67" t="s">
        <v>41</v>
      </c>
      <c r="I13" s="68">
        <f t="shared" si="11"/>
        <v>0.92573646075288063</v>
      </c>
      <c r="J13" s="69">
        <v>25731</v>
      </c>
      <c r="K13" s="68">
        <f t="shared" si="26"/>
        <v>23820.124871632372</v>
      </c>
      <c r="L13" s="62">
        <f t="shared" si="12"/>
        <v>112322.38199252926</v>
      </c>
      <c r="M13" s="69">
        <f t="shared" si="13"/>
        <v>121333</v>
      </c>
      <c r="N13" s="70">
        <f t="shared" ref="N13" si="33">100%-(L13/$F13)</f>
        <v>0.17496464124462818</v>
      </c>
      <c r="O13" s="69"/>
      <c r="P13" s="68">
        <f t="shared" si="27"/>
        <v>0</v>
      </c>
      <c r="Q13" s="62">
        <f t="shared" si="15"/>
        <v>136142.50686416164</v>
      </c>
      <c r="R13" s="69">
        <f t="shared" si="16"/>
        <v>147064</v>
      </c>
      <c r="S13" s="70">
        <f t="shared" ref="S13" si="34">100%-(Q13/$F13)</f>
        <v>0</v>
      </c>
      <c r="T13" s="69"/>
      <c r="U13" s="68">
        <f t="shared" si="18"/>
        <v>0</v>
      </c>
      <c r="V13" s="62">
        <f t="shared" si="9"/>
        <v>136142.50686416164</v>
      </c>
      <c r="W13" s="69">
        <f t="shared" si="19"/>
        <v>147064</v>
      </c>
      <c r="X13" s="70">
        <f t="shared" ref="X13" si="35">100%-(V13/$F13)</f>
        <v>0</v>
      </c>
      <c r="Y13" s="69"/>
      <c r="Z13" s="68">
        <f t="shared" si="21"/>
        <v>0</v>
      </c>
      <c r="AA13" s="68">
        <f t="shared" si="10"/>
        <v>136142.50686416164</v>
      </c>
      <c r="AB13" s="69">
        <f t="shared" si="22"/>
        <v>147064</v>
      </c>
      <c r="AC13" s="70">
        <f t="shared" ref="AC13" si="36">100%-(AA13/$F13)</f>
        <v>0</v>
      </c>
      <c r="AD13" s="69"/>
      <c r="AE13" s="68">
        <f>AD13*I13</f>
        <v>0</v>
      </c>
      <c r="AF13" s="68">
        <f>F13-AE13</f>
        <v>136142.50686416164</v>
      </c>
      <c r="AG13" s="69">
        <f>G13-AD13</f>
        <v>147064</v>
      </c>
      <c r="AH13" s="70">
        <f t="shared" ref="AH13" si="37">100%-(AF13/$F13)</f>
        <v>0</v>
      </c>
    </row>
    <row r="14" spans="1:34" ht="15" customHeight="1" outlineLevel="2" x14ac:dyDescent="0.25">
      <c r="B14" s="71">
        <v>2410</v>
      </c>
      <c r="C14" s="72" t="s">
        <v>36</v>
      </c>
      <c r="E14" s="73">
        <v>39646.07</v>
      </c>
      <c r="F14" s="74">
        <f t="shared" si="28"/>
        <v>54639.471189739423</v>
      </c>
      <c r="G14" s="75">
        <v>147064</v>
      </c>
      <c r="H14" s="56" t="s">
        <v>41</v>
      </c>
      <c r="I14" s="73">
        <f t="shared" si="11"/>
        <v>0.37153532604675121</v>
      </c>
      <c r="J14" s="69"/>
      <c r="K14" s="68">
        <f t="shared" si="26"/>
        <v>0</v>
      </c>
      <c r="L14" s="62">
        <f t="shared" si="12"/>
        <v>0</v>
      </c>
      <c r="M14" s="69">
        <f t="shared" si="13"/>
        <v>0</v>
      </c>
      <c r="O14" s="69"/>
      <c r="P14" s="68">
        <f t="shared" si="27"/>
        <v>0</v>
      </c>
      <c r="Q14" s="62">
        <f t="shared" si="15"/>
        <v>0</v>
      </c>
      <c r="R14" s="69">
        <f t="shared" si="16"/>
        <v>0</v>
      </c>
      <c r="T14" s="69"/>
      <c r="U14" s="68">
        <f t="shared" si="18"/>
        <v>0</v>
      </c>
      <c r="V14" s="62">
        <f t="shared" si="9"/>
        <v>0</v>
      </c>
      <c r="W14" s="69">
        <f t="shared" si="19"/>
        <v>0</v>
      </c>
      <c r="Y14" s="69">
        <f>$AD$13*B14/$G$13</f>
        <v>0</v>
      </c>
      <c r="Z14" s="68">
        <f t="shared" si="21"/>
        <v>0</v>
      </c>
      <c r="AA14" s="68">
        <f t="shared" si="10"/>
        <v>0</v>
      </c>
      <c r="AB14" s="69">
        <f t="shared" si="22"/>
        <v>0</v>
      </c>
      <c r="AD14" s="69">
        <f>$AD$13*G14/$G$13</f>
        <v>0</v>
      </c>
    </row>
    <row r="15" spans="1:34" ht="15" customHeight="1" outlineLevel="2" x14ac:dyDescent="0.25">
      <c r="B15" s="71">
        <v>2490</v>
      </c>
      <c r="C15" s="72" t="s">
        <v>37</v>
      </c>
      <c r="E15" s="73">
        <v>17316.79</v>
      </c>
      <c r="F15" s="74">
        <f t="shared" si="28"/>
        <v>23865.675672362177</v>
      </c>
      <c r="G15" s="75">
        <v>2757.45</v>
      </c>
      <c r="H15" s="56" t="s">
        <v>43</v>
      </c>
      <c r="I15" s="73">
        <f t="shared" si="11"/>
        <v>8.6549803885336729</v>
      </c>
      <c r="J15" s="69"/>
      <c r="K15" s="68">
        <f t="shared" si="26"/>
        <v>0</v>
      </c>
      <c r="L15" s="62">
        <f t="shared" si="12"/>
        <v>0</v>
      </c>
      <c r="M15" s="69">
        <f t="shared" si="13"/>
        <v>0</v>
      </c>
      <c r="O15" s="69"/>
      <c r="P15" s="68">
        <f t="shared" si="27"/>
        <v>0</v>
      </c>
      <c r="Q15" s="62">
        <f t="shared" si="15"/>
        <v>0</v>
      </c>
      <c r="R15" s="69">
        <f t="shared" si="16"/>
        <v>0</v>
      </c>
      <c r="T15" s="69"/>
      <c r="U15" s="68">
        <f t="shared" si="18"/>
        <v>0</v>
      </c>
      <c r="V15" s="62">
        <f t="shared" si="9"/>
        <v>0</v>
      </c>
      <c r="W15" s="69">
        <f t="shared" si="19"/>
        <v>0</v>
      </c>
      <c r="Y15" s="69">
        <f>$AD$13*B15/$G$13</f>
        <v>0</v>
      </c>
      <c r="Z15" s="68">
        <f t="shared" si="21"/>
        <v>0</v>
      </c>
      <c r="AA15" s="68">
        <f t="shared" si="10"/>
        <v>0</v>
      </c>
      <c r="AB15" s="69">
        <f t="shared" si="22"/>
        <v>0</v>
      </c>
      <c r="AD15" s="69">
        <f>$AD$13*G15/$G$13</f>
        <v>0</v>
      </c>
    </row>
    <row r="16" spans="1:34" ht="15" customHeight="1" outlineLevel="2" x14ac:dyDescent="0.25">
      <c r="B16" s="71">
        <v>2150</v>
      </c>
      <c r="C16" s="72" t="s">
        <v>38</v>
      </c>
      <c r="E16" s="73">
        <v>41821.33</v>
      </c>
      <c r="F16" s="74">
        <f t="shared" si="28"/>
        <v>57637.373783872783</v>
      </c>
      <c r="G16" s="75">
        <v>2757.45</v>
      </c>
      <c r="H16" s="56" t="s">
        <v>43</v>
      </c>
      <c r="I16" s="73">
        <f t="shared" si="11"/>
        <v>20.902418460488054</v>
      </c>
      <c r="J16" s="69"/>
      <c r="K16" s="68">
        <f t="shared" si="26"/>
        <v>0</v>
      </c>
      <c r="L16" s="62">
        <f t="shared" si="12"/>
        <v>0</v>
      </c>
      <c r="M16" s="69">
        <f t="shared" si="13"/>
        <v>0</v>
      </c>
      <c r="O16" s="69"/>
      <c r="P16" s="68">
        <f t="shared" si="27"/>
        <v>0</v>
      </c>
      <c r="Q16" s="62">
        <f t="shared" si="15"/>
        <v>0</v>
      </c>
      <c r="R16" s="69">
        <f t="shared" si="16"/>
        <v>0</v>
      </c>
      <c r="T16" s="69"/>
      <c r="U16" s="68">
        <f t="shared" si="18"/>
        <v>0</v>
      </c>
      <c r="V16" s="62">
        <f t="shared" si="9"/>
        <v>0</v>
      </c>
      <c r="W16" s="69">
        <f t="shared" si="19"/>
        <v>0</v>
      </c>
      <c r="Y16" s="69">
        <f>$AD$13*B16/$G$13</f>
        <v>0</v>
      </c>
      <c r="Z16" s="68">
        <f t="shared" si="21"/>
        <v>0</v>
      </c>
      <c r="AA16" s="68">
        <f t="shared" si="10"/>
        <v>0</v>
      </c>
      <c r="AB16" s="69">
        <f t="shared" si="22"/>
        <v>0</v>
      </c>
      <c r="AD16" s="69">
        <f>$AD$13*G16/$G$13</f>
        <v>0</v>
      </c>
    </row>
    <row r="17" spans="1:34" ht="15" customHeight="1" outlineLevel="1" x14ac:dyDescent="0.25">
      <c r="A17" s="67"/>
      <c r="B17" s="66"/>
      <c r="C17" s="67" t="s">
        <v>127</v>
      </c>
      <c r="D17" s="68"/>
      <c r="E17" s="68">
        <v>11787.9</v>
      </c>
      <c r="F17" s="68">
        <f t="shared" si="28"/>
        <v>16245.86301839071</v>
      </c>
      <c r="G17" s="69">
        <v>1634</v>
      </c>
      <c r="H17" s="67" t="s">
        <v>40</v>
      </c>
      <c r="I17" s="68">
        <f t="shared" si="11"/>
        <v>9.9423886281460891</v>
      </c>
      <c r="J17" s="69"/>
      <c r="K17" s="68">
        <f t="shared" si="26"/>
        <v>0</v>
      </c>
      <c r="L17" s="62">
        <f t="shared" si="12"/>
        <v>16245.86301839071</v>
      </c>
      <c r="M17" s="69">
        <f t="shared" si="13"/>
        <v>1634</v>
      </c>
      <c r="N17" s="70">
        <f t="shared" ref="N17" si="38">100%-(L17/$F17)</f>
        <v>0</v>
      </c>
      <c r="O17" s="69"/>
      <c r="P17" s="68">
        <f t="shared" si="27"/>
        <v>0</v>
      </c>
      <c r="Q17" s="62">
        <f t="shared" si="15"/>
        <v>16245.86301839071</v>
      </c>
      <c r="R17" s="69">
        <f t="shared" si="16"/>
        <v>1634</v>
      </c>
      <c r="S17" s="70">
        <f t="shared" ref="S17" si="39">100%-(Q17/$F17)</f>
        <v>0</v>
      </c>
      <c r="T17" s="69"/>
      <c r="U17" s="68">
        <f t="shared" si="18"/>
        <v>0</v>
      </c>
      <c r="V17" s="62">
        <f t="shared" si="9"/>
        <v>16245.86301839071</v>
      </c>
      <c r="W17" s="69">
        <f t="shared" si="19"/>
        <v>1634</v>
      </c>
      <c r="X17" s="70">
        <f t="shared" ref="X17" si="40">100%-(V17/$F17)</f>
        <v>0</v>
      </c>
      <c r="Y17" s="69"/>
      <c r="Z17" s="68">
        <f t="shared" si="21"/>
        <v>0</v>
      </c>
      <c r="AA17" s="68">
        <f t="shared" si="10"/>
        <v>16245.86301839071</v>
      </c>
      <c r="AB17" s="69">
        <f t="shared" si="22"/>
        <v>1634</v>
      </c>
      <c r="AC17" s="70">
        <f t="shared" ref="AC17" si="41">100%-(AA17/$F17)</f>
        <v>0</v>
      </c>
      <c r="AD17" s="69"/>
      <c r="AE17" s="68">
        <f>AD17*I17</f>
        <v>0</v>
      </c>
      <c r="AF17" s="68">
        <f>F17-AE17</f>
        <v>16245.86301839071</v>
      </c>
      <c r="AG17" s="69">
        <f>G17-AD17</f>
        <v>1634</v>
      </c>
      <c r="AH17" s="70">
        <f t="shared" ref="AH17" si="42">100%-(AF17/$F17)</f>
        <v>0</v>
      </c>
    </row>
    <row r="18" spans="1:34" ht="15" customHeight="1" outlineLevel="2" x14ac:dyDescent="0.25">
      <c r="B18" s="71">
        <v>2421</v>
      </c>
      <c r="C18" s="72" t="s">
        <v>128</v>
      </c>
      <c r="E18" s="73">
        <v>7521.86</v>
      </c>
      <c r="F18" s="74">
        <f t="shared" si="28"/>
        <v>10366.486583998196</v>
      </c>
      <c r="G18" s="75">
        <v>1634</v>
      </c>
      <c r="H18" s="56" t="s">
        <v>40</v>
      </c>
      <c r="I18" s="73">
        <f t="shared" si="11"/>
        <v>6.3442390354946117</v>
      </c>
      <c r="J18" s="69"/>
      <c r="K18" s="68">
        <f t="shared" si="26"/>
        <v>0</v>
      </c>
      <c r="L18" s="62">
        <f t="shared" si="12"/>
        <v>0</v>
      </c>
      <c r="M18" s="69">
        <f t="shared" si="13"/>
        <v>0</v>
      </c>
      <c r="O18" s="69"/>
      <c r="P18" s="68">
        <f t="shared" si="27"/>
        <v>0</v>
      </c>
      <c r="Q18" s="62">
        <f t="shared" si="15"/>
        <v>0</v>
      </c>
      <c r="R18" s="69">
        <f t="shared" si="16"/>
        <v>0</v>
      </c>
      <c r="T18" s="69"/>
      <c r="U18" s="68">
        <f t="shared" si="18"/>
        <v>0</v>
      </c>
      <c r="V18" s="62">
        <f t="shared" si="9"/>
        <v>0</v>
      </c>
      <c r="W18" s="69">
        <f t="shared" si="19"/>
        <v>0</v>
      </c>
      <c r="Y18" s="69">
        <f>$AD$17*B18/$G$17</f>
        <v>0</v>
      </c>
      <c r="Z18" s="68">
        <f t="shared" si="21"/>
        <v>0</v>
      </c>
      <c r="AA18" s="68">
        <f t="shared" si="10"/>
        <v>0</v>
      </c>
      <c r="AB18" s="69">
        <f t="shared" si="22"/>
        <v>0</v>
      </c>
      <c r="AD18" s="69">
        <f>$AD$17*G18/$G$17</f>
        <v>0</v>
      </c>
    </row>
    <row r="19" spans="1:34" ht="15" customHeight="1" outlineLevel="2" x14ac:dyDescent="0.25">
      <c r="B19" s="71">
        <v>2490</v>
      </c>
      <c r="C19" s="72" t="s">
        <v>37</v>
      </c>
      <c r="E19" s="73">
        <v>1292.17</v>
      </c>
      <c r="F19" s="74">
        <f t="shared" si="28"/>
        <v>1780.8444944794176</v>
      </c>
      <c r="G19" s="75">
        <v>196.08</v>
      </c>
      <c r="H19" s="56" t="s">
        <v>43</v>
      </c>
      <c r="I19" s="73">
        <f t="shared" si="11"/>
        <v>9.0822342639709177</v>
      </c>
      <c r="J19" s="69"/>
      <c r="K19" s="68">
        <f t="shared" si="26"/>
        <v>0</v>
      </c>
      <c r="L19" s="62">
        <f t="shared" si="12"/>
        <v>0</v>
      </c>
      <c r="M19" s="69">
        <f t="shared" si="13"/>
        <v>0</v>
      </c>
      <c r="O19" s="69"/>
      <c r="P19" s="68">
        <f t="shared" si="27"/>
        <v>0</v>
      </c>
      <c r="Q19" s="62">
        <f t="shared" si="15"/>
        <v>0</v>
      </c>
      <c r="R19" s="69">
        <f t="shared" si="16"/>
        <v>0</v>
      </c>
      <c r="T19" s="69"/>
      <c r="U19" s="68">
        <f t="shared" si="18"/>
        <v>0</v>
      </c>
      <c r="V19" s="62">
        <f t="shared" si="9"/>
        <v>0</v>
      </c>
      <c r="W19" s="69">
        <f t="shared" si="19"/>
        <v>0</v>
      </c>
      <c r="Y19" s="69">
        <f>$AD$17*B19/$G$17</f>
        <v>0</v>
      </c>
      <c r="Z19" s="68">
        <f t="shared" si="21"/>
        <v>0</v>
      </c>
      <c r="AA19" s="68">
        <f t="shared" si="10"/>
        <v>0</v>
      </c>
      <c r="AB19" s="69">
        <f t="shared" si="22"/>
        <v>0</v>
      </c>
      <c r="AD19" s="69">
        <f>$AD$17*G19/$G$17</f>
        <v>0</v>
      </c>
    </row>
    <row r="20" spans="1:34" ht="15" customHeight="1" outlineLevel="2" x14ac:dyDescent="0.25">
      <c r="B20" s="71">
        <v>2150</v>
      </c>
      <c r="C20" s="72" t="s">
        <v>38</v>
      </c>
      <c r="E20" s="73">
        <v>2973.88</v>
      </c>
      <c r="F20" s="74">
        <f t="shared" si="28"/>
        <v>4098.5457217258181</v>
      </c>
      <c r="G20" s="75">
        <v>196.08</v>
      </c>
      <c r="H20" s="56" t="s">
        <v>43</v>
      </c>
      <c r="I20" s="73">
        <f t="shared" si="11"/>
        <v>20.902415961473981</v>
      </c>
      <c r="J20" s="69"/>
      <c r="K20" s="68">
        <f t="shared" si="26"/>
        <v>0</v>
      </c>
      <c r="L20" s="62">
        <f t="shared" si="12"/>
        <v>0</v>
      </c>
      <c r="M20" s="69">
        <f t="shared" si="13"/>
        <v>0</v>
      </c>
      <c r="O20" s="69"/>
      <c r="P20" s="68">
        <f t="shared" si="27"/>
        <v>0</v>
      </c>
      <c r="Q20" s="62">
        <f t="shared" si="15"/>
        <v>0</v>
      </c>
      <c r="R20" s="69">
        <f t="shared" si="16"/>
        <v>0</v>
      </c>
      <c r="T20" s="69"/>
      <c r="U20" s="68">
        <f t="shared" si="18"/>
        <v>0</v>
      </c>
      <c r="V20" s="62">
        <f t="shared" si="9"/>
        <v>0</v>
      </c>
      <c r="W20" s="69">
        <f t="shared" si="19"/>
        <v>0</v>
      </c>
      <c r="Y20" s="69">
        <f>$AD$17*B20/$G$17</f>
        <v>0</v>
      </c>
      <c r="Z20" s="68">
        <f t="shared" si="21"/>
        <v>0</v>
      </c>
      <c r="AA20" s="68">
        <f t="shared" si="10"/>
        <v>0</v>
      </c>
      <c r="AB20" s="69">
        <f t="shared" si="22"/>
        <v>0</v>
      </c>
      <c r="AD20" s="69">
        <f>$AD$17*G20/$G$17</f>
        <v>0</v>
      </c>
    </row>
    <row r="21" spans="1:34" ht="15" customHeight="1" outlineLevel="1" x14ac:dyDescent="0.25">
      <c r="A21" s="67"/>
      <c r="B21" s="66"/>
      <c r="C21" s="67" t="s">
        <v>129</v>
      </c>
      <c r="D21" s="68"/>
      <c r="E21" s="68">
        <v>2487.38</v>
      </c>
      <c r="F21" s="68">
        <f t="shared" si="28"/>
        <v>3428.0605328077677</v>
      </c>
      <c r="G21" s="69">
        <v>811</v>
      </c>
      <c r="H21" s="67" t="s">
        <v>40</v>
      </c>
      <c r="I21" s="68">
        <f t="shared" si="11"/>
        <v>4.2269550342882463</v>
      </c>
      <c r="J21" s="69"/>
      <c r="K21" s="68">
        <f t="shared" si="26"/>
        <v>0</v>
      </c>
      <c r="L21" s="62">
        <f t="shared" si="12"/>
        <v>0</v>
      </c>
      <c r="M21" s="69">
        <f t="shared" si="13"/>
        <v>0</v>
      </c>
      <c r="N21" s="70">
        <f t="shared" ref="N21" si="43">100%-(L21/$F21)</f>
        <v>1</v>
      </c>
      <c r="O21" s="69"/>
      <c r="P21" s="68">
        <f t="shared" si="27"/>
        <v>0</v>
      </c>
      <c r="Q21" s="62">
        <f t="shared" si="15"/>
        <v>0</v>
      </c>
      <c r="R21" s="69">
        <f t="shared" si="16"/>
        <v>0</v>
      </c>
      <c r="S21" s="70">
        <f t="shared" ref="S21" si="44">100%-(Q21/$F21)</f>
        <v>1</v>
      </c>
      <c r="T21" s="69"/>
      <c r="U21" s="68">
        <f t="shared" si="18"/>
        <v>0</v>
      </c>
      <c r="V21" s="62">
        <f t="shared" si="9"/>
        <v>0</v>
      </c>
      <c r="W21" s="69">
        <f t="shared" si="19"/>
        <v>0</v>
      </c>
      <c r="X21" s="70">
        <f t="shared" ref="X21" si="45">100%-(V21/$F21)</f>
        <v>1</v>
      </c>
      <c r="Y21" s="69"/>
      <c r="Z21" s="68">
        <f t="shared" si="21"/>
        <v>0</v>
      </c>
      <c r="AA21" s="68">
        <f t="shared" si="10"/>
        <v>0</v>
      </c>
      <c r="AB21" s="69">
        <f t="shared" si="22"/>
        <v>0</v>
      </c>
      <c r="AC21" s="70">
        <f t="shared" ref="AC21" si="46">100%-(AA21/$F21)</f>
        <v>1</v>
      </c>
      <c r="AD21" s="69">
        <v>811</v>
      </c>
      <c r="AE21" s="68">
        <f>AD21*I21</f>
        <v>3428.0605328077677</v>
      </c>
      <c r="AF21" s="68">
        <f>F21-AE21</f>
        <v>0</v>
      </c>
      <c r="AG21" s="69">
        <f>G21-AD21</f>
        <v>0</v>
      </c>
      <c r="AH21" s="70">
        <f t="shared" ref="AH21" si="47">100%-(AF21/$F21)</f>
        <v>1</v>
      </c>
    </row>
    <row r="22" spans="1:34" ht="15" customHeight="1" outlineLevel="2" x14ac:dyDescent="0.25">
      <c r="B22" s="71">
        <v>2401</v>
      </c>
      <c r="C22" s="72" t="s">
        <v>35</v>
      </c>
      <c r="E22" s="73">
        <v>2421.9899999999998</v>
      </c>
      <c r="F22" s="74">
        <f t="shared" si="28"/>
        <v>3337.9412594195837</v>
      </c>
      <c r="G22" s="75">
        <v>811</v>
      </c>
      <c r="H22" s="56" t="s">
        <v>40</v>
      </c>
      <c r="I22" s="73">
        <f t="shared" si="11"/>
        <v>4.115833858717119</v>
      </c>
      <c r="J22" s="69"/>
      <c r="K22" s="68">
        <f t="shared" si="26"/>
        <v>0</v>
      </c>
      <c r="L22" s="62">
        <f t="shared" si="12"/>
        <v>0</v>
      </c>
      <c r="M22" s="69">
        <f t="shared" si="13"/>
        <v>0</v>
      </c>
      <c r="O22" s="69"/>
      <c r="P22" s="68">
        <f t="shared" si="27"/>
        <v>0</v>
      </c>
      <c r="Q22" s="62">
        <f t="shared" si="15"/>
        <v>0</v>
      </c>
      <c r="R22" s="69">
        <f t="shared" si="16"/>
        <v>0</v>
      </c>
      <c r="T22" s="69"/>
      <c r="U22" s="68">
        <f t="shared" si="18"/>
        <v>0</v>
      </c>
      <c r="V22" s="62">
        <f t="shared" si="9"/>
        <v>0</v>
      </c>
      <c r="W22" s="69">
        <f t="shared" si="19"/>
        <v>0</v>
      </c>
      <c r="Y22" s="69"/>
      <c r="Z22" s="68">
        <f t="shared" si="21"/>
        <v>0</v>
      </c>
      <c r="AA22" s="68">
        <f t="shared" si="10"/>
        <v>0</v>
      </c>
      <c r="AB22" s="69">
        <f t="shared" si="22"/>
        <v>0</v>
      </c>
      <c r="AD22" s="69">
        <f>$AD$21*G22/$G$21</f>
        <v>811</v>
      </c>
    </row>
    <row r="23" spans="1:34" ht="15" customHeight="1" outlineLevel="2" x14ac:dyDescent="0.25">
      <c r="B23" s="71">
        <v>2490</v>
      </c>
      <c r="C23" s="72" t="s">
        <v>37</v>
      </c>
      <c r="E23" s="73">
        <v>50.69</v>
      </c>
      <c r="F23" s="74">
        <f t="shared" si="28"/>
        <v>69.860008687062589</v>
      </c>
      <c r="G23" s="75">
        <v>2.0299999999999998</v>
      </c>
      <c r="H23" s="56" t="s">
        <v>43</v>
      </c>
      <c r="I23" s="73">
        <f t="shared" si="11"/>
        <v>34.413797382789454</v>
      </c>
      <c r="J23" s="69"/>
      <c r="K23" s="68">
        <f t="shared" si="26"/>
        <v>0</v>
      </c>
      <c r="L23" s="62">
        <f t="shared" si="12"/>
        <v>0</v>
      </c>
      <c r="M23" s="69">
        <f t="shared" si="13"/>
        <v>0</v>
      </c>
      <c r="O23" s="69"/>
      <c r="P23" s="68">
        <f t="shared" si="27"/>
        <v>0</v>
      </c>
      <c r="Q23" s="62">
        <f t="shared" si="15"/>
        <v>0</v>
      </c>
      <c r="R23" s="69">
        <f t="shared" si="16"/>
        <v>0</v>
      </c>
      <c r="T23" s="69"/>
      <c r="U23" s="68">
        <f t="shared" si="18"/>
        <v>0</v>
      </c>
      <c r="V23" s="62">
        <f t="shared" si="9"/>
        <v>0</v>
      </c>
      <c r="W23" s="69">
        <f t="shared" si="19"/>
        <v>0</v>
      </c>
      <c r="Y23" s="69"/>
      <c r="Z23" s="68">
        <f t="shared" si="21"/>
        <v>0</v>
      </c>
      <c r="AA23" s="68">
        <f t="shared" si="10"/>
        <v>0</v>
      </c>
      <c r="AB23" s="69">
        <f t="shared" si="22"/>
        <v>0</v>
      </c>
      <c r="AD23" s="69">
        <f>$AD$21*G23/$G$21</f>
        <v>2.0299999999999998</v>
      </c>
    </row>
    <row r="24" spans="1:34" ht="15" customHeight="1" outlineLevel="2" x14ac:dyDescent="0.25">
      <c r="B24" s="71">
        <v>2150</v>
      </c>
      <c r="C24" s="72" t="s">
        <v>38</v>
      </c>
      <c r="E24" s="73">
        <v>14.71</v>
      </c>
      <c r="F24" s="74">
        <f t="shared" si="28"/>
        <v>20.273046513842786</v>
      </c>
      <c r="G24" s="75">
        <v>2.0299999999999998</v>
      </c>
      <c r="H24" s="56" t="s">
        <v>43</v>
      </c>
      <c r="I24" s="73">
        <f t="shared" si="11"/>
        <v>9.9867224206122103</v>
      </c>
      <c r="J24" s="69"/>
      <c r="K24" s="68">
        <f t="shared" si="26"/>
        <v>0</v>
      </c>
      <c r="L24" s="62">
        <f t="shared" si="12"/>
        <v>0</v>
      </c>
      <c r="M24" s="69">
        <f t="shared" si="13"/>
        <v>0</v>
      </c>
      <c r="O24" s="69"/>
      <c r="P24" s="68">
        <f t="shared" si="27"/>
        <v>0</v>
      </c>
      <c r="Q24" s="62">
        <f t="shared" si="15"/>
        <v>0</v>
      </c>
      <c r="R24" s="69">
        <f t="shared" si="16"/>
        <v>0</v>
      </c>
      <c r="T24" s="69"/>
      <c r="U24" s="68">
        <f t="shared" si="18"/>
        <v>0</v>
      </c>
      <c r="V24" s="62">
        <f t="shared" si="9"/>
        <v>0</v>
      </c>
      <c r="W24" s="69">
        <f t="shared" si="19"/>
        <v>0</v>
      </c>
      <c r="Y24" s="69"/>
      <c r="Z24" s="68">
        <f t="shared" si="21"/>
        <v>0</v>
      </c>
      <c r="AA24" s="68">
        <f t="shared" si="10"/>
        <v>0</v>
      </c>
      <c r="AB24" s="69">
        <f t="shared" si="22"/>
        <v>0</v>
      </c>
      <c r="AD24" s="69">
        <f>$AD$21*G24/$G$21</f>
        <v>2.0299999999999998</v>
      </c>
    </row>
    <row r="25" spans="1:34" ht="15" customHeight="1" outlineLevel="1" x14ac:dyDescent="0.25">
      <c r="A25" s="67"/>
      <c r="B25" s="66"/>
      <c r="C25" s="67" t="s">
        <v>130</v>
      </c>
      <c r="D25" s="68"/>
      <c r="E25" s="68">
        <v>159088.01999999999</v>
      </c>
      <c r="F25" s="68">
        <f t="shared" si="28"/>
        <v>219252.12979300821</v>
      </c>
      <c r="G25" s="69">
        <v>3367</v>
      </c>
      <c r="H25" s="67" t="s">
        <v>40</v>
      </c>
      <c r="I25" s="68">
        <f t="shared" si="11"/>
        <v>65.11794766647111</v>
      </c>
      <c r="J25" s="69">
        <v>0</v>
      </c>
      <c r="K25" s="68">
        <f t="shared" si="26"/>
        <v>0</v>
      </c>
      <c r="L25" s="62">
        <f t="shared" si="12"/>
        <v>219252.12979300821</v>
      </c>
      <c r="M25" s="69">
        <f t="shared" si="13"/>
        <v>3367</v>
      </c>
      <c r="N25" s="70">
        <f t="shared" ref="N25" si="48">100%-(L25/$F25)</f>
        <v>0</v>
      </c>
      <c r="O25" s="69">
        <v>0</v>
      </c>
      <c r="P25" s="68">
        <f t="shared" si="27"/>
        <v>0</v>
      </c>
      <c r="Q25" s="62">
        <f t="shared" si="15"/>
        <v>219252.12979300821</v>
      </c>
      <c r="R25" s="69">
        <f t="shared" si="16"/>
        <v>3367</v>
      </c>
      <c r="S25" s="70">
        <f t="shared" ref="S25" si="49">100%-(Q25/$F25)</f>
        <v>0</v>
      </c>
      <c r="T25" s="69">
        <v>0</v>
      </c>
      <c r="U25" s="68">
        <f t="shared" si="18"/>
        <v>0</v>
      </c>
      <c r="V25" s="62">
        <f t="shared" si="9"/>
        <v>219252.12979300821</v>
      </c>
      <c r="W25" s="69">
        <f t="shared" si="19"/>
        <v>3367</v>
      </c>
      <c r="X25" s="70">
        <f t="shared" ref="X25" si="50">100%-(V25/$F25)</f>
        <v>0</v>
      </c>
      <c r="Y25" s="69">
        <v>0</v>
      </c>
      <c r="Z25" s="68">
        <f t="shared" si="21"/>
        <v>0</v>
      </c>
      <c r="AA25" s="68">
        <f t="shared" si="10"/>
        <v>219252.12979300821</v>
      </c>
      <c r="AB25" s="69">
        <f t="shared" si="22"/>
        <v>3367</v>
      </c>
      <c r="AC25" s="70">
        <f t="shared" ref="AC25" si="51">100%-(AA25/$F25)</f>
        <v>0</v>
      </c>
      <c r="AD25" s="69">
        <v>0</v>
      </c>
      <c r="AE25" s="68">
        <f>AD25*I25</f>
        <v>0</v>
      </c>
      <c r="AF25" s="68">
        <f>F25-AE25</f>
        <v>219252.12979300821</v>
      </c>
      <c r="AG25" s="69">
        <f>G25-AD25</f>
        <v>3367</v>
      </c>
      <c r="AH25" s="70">
        <f t="shared" ref="AH25" si="52">100%-(AF25/$F25)</f>
        <v>0</v>
      </c>
    </row>
    <row r="26" spans="1:34" ht="15" customHeight="1" outlineLevel="2" x14ac:dyDescent="0.25">
      <c r="B26" s="71">
        <v>2450</v>
      </c>
      <c r="C26" s="72" t="s">
        <v>131</v>
      </c>
      <c r="E26" s="73">
        <v>130624.04</v>
      </c>
      <c r="F26" s="74">
        <f t="shared" si="28"/>
        <v>180023.60562515704</v>
      </c>
      <c r="G26" s="75">
        <v>3367</v>
      </c>
      <c r="H26" s="56" t="s">
        <v>40</v>
      </c>
      <c r="I26" s="73">
        <f t="shared" si="11"/>
        <v>53.467064337735977</v>
      </c>
      <c r="J26" s="69"/>
      <c r="K26" s="68">
        <f t="shared" si="26"/>
        <v>0</v>
      </c>
      <c r="L26" s="62">
        <f t="shared" si="12"/>
        <v>0</v>
      </c>
      <c r="M26" s="69">
        <f t="shared" si="13"/>
        <v>0</v>
      </c>
      <c r="O26" s="69"/>
      <c r="P26" s="68">
        <f t="shared" si="27"/>
        <v>0</v>
      </c>
      <c r="Q26" s="62">
        <f t="shared" si="15"/>
        <v>0</v>
      </c>
      <c r="R26" s="69">
        <f t="shared" si="16"/>
        <v>0</v>
      </c>
      <c r="T26" s="69"/>
      <c r="U26" s="68">
        <f t="shared" si="18"/>
        <v>0</v>
      </c>
      <c r="V26" s="62">
        <f t="shared" si="9"/>
        <v>0</v>
      </c>
      <c r="W26" s="69">
        <f t="shared" si="19"/>
        <v>0</v>
      </c>
      <c r="Y26" s="69">
        <f t="shared" ref="Y26:Y32" si="53">$AD$25*B26/$G$25</f>
        <v>0</v>
      </c>
      <c r="Z26" s="68">
        <f t="shared" si="21"/>
        <v>0</v>
      </c>
      <c r="AA26" s="68">
        <f t="shared" si="10"/>
        <v>0</v>
      </c>
      <c r="AB26" s="69">
        <f t="shared" si="22"/>
        <v>0</v>
      </c>
      <c r="AD26" s="69">
        <f t="shared" ref="AD26:AD32" si="54">$AD$25*G26/$G$25</f>
        <v>0</v>
      </c>
    </row>
    <row r="27" spans="1:34" ht="15" customHeight="1" outlineLevel="2" x14ac:dyDescent="0.25">
      <c r="B27" s="71">
        <v>2490</v>
      </c>
      <c r="C27" s="72" t="s">
        <v>37</v>
      </c>
      <c r="E27" s="73">
        <v>480.64</v>
      </c>
      <c r="F27" s="74">
        <f t="shared" si="28"/>
        <v>662.40904666304527</v>
      </c>
      <c r="G27" s="75">
        <v>19.23</v>
      </c>
      <c r="H27" s="56" t="s">
        <v>43</v>
      </c>
      <c r="I27" s="73">
        <f t="shared" si="11"/>
        <v>34.446648292410053</v>
      </c>
      <c r="J27" s="69"/>
      <c r="K27" s="68">
        <f t="shared" si="26"/>
        <v>0</v>
      </c>
      <c r="L27" s="62">
        <f t="shared" si="12"/>
        <v>0</v>
      </c>
      <c r="M27" s="69">
        <f t="shared" si="13"/>
        <v>0</v>
      </c>
      <c r="O27" s="69"/>
      <c r="P27" s="68">
        <f t="shared" si="27"/>
        <v>0</v>
      </c>
      <c r="Q27" s="62">
        <f t="shared" si="15"/>
        <v>0</v>
      </c>
      <c r="R27" s="69">
        <f t="shared" si="16"/>
        <v>0</v>
      </c>
      <c r="T27" s="69"/>
      <c r="U27" s="68">
        <f t="shared" si="18"/>
        <v>0</v>
      </c>
      <c r="V27" s="62">
        <f t="shared" si="9"/>
        <v>0</v>
      </c>
      <c r="W27" s="69">
        <f t="shared" si="19"/>
        <v>0</v>
      </c>
      <c r="Y27" s="69">
        <f t="shared" si="53"/>
        <v>0</v>
      </c>
      <c r="Z27" s="68">
        <f t="shared" si="21"/>
        <v>0</v>
      </c>
      <c r="AA27" s="68">
        <f t="shared" si="10"/>
        <v>0</v>
      </c>
      <c r="AB27" s="69">
        <f t="shared" si="22"/>
        <v>0</v>
      </c>
      <c r="AD27" s="69">
        <f t="shared" si="54"/>
        <v>0</v>
      </c>
    </row>
    <row r="28" spans="1:34" ht="15" customHeight="1" outlineLevel="2" x14ac:dyDescent="0.25">
      <c r="B28" s="71">
        <v>2150</v>
      </c>
      <c r="C28" s="72" t="s">
        <v>38</v>
      </c>
      <c r="E28" s="73">
        <v>139.46</v>
      </c>
      <c r="F28" s="74">
        <f t="shared" si="28"/>
        <v>192.20116021893369</v>
      </c>
      <c r="G28" s="75">
        <v>19.23</v>
      </c>
      <c r="H28" s="56" t="s">
        <v>43</v>
      </c>
      <c r="I28" s="73">
        <f t="shared" si="11"/>
        <v>9.9948601257895842</v>
      </c>
      <c r="J28" s="69"/>
      <c r="K28" s="68">
        <f t="shared" si="26"/>
        <v>0</v>
      </c>
      <c r="L28" s="62">
        <f t="shared" si="12"/>
        <v>0</v>
      </c>
      <c r="M28" s="69">
        <f t="shared" si="13"/>
        <v>0</v>
      </c>
      <c r="O28" s="69"/>
      <c r="P28" s="68">
        <f t="shared" si="27"/>
        <v>0</v>
      </c>
      <c r="Q28" s="62">
        <f t="shared" si="15"/>
        <v>0</v>
      </c>
      <c r="R28" s="69">
        <f t="shared" si="16"/>
        <v>0</v>
      </c>
      <c r="T28" s="69"/>
      <c r="U28" s="68">
        <f t="shared" si="18"/>
        <v>0</v>
      </c>
      <c r="V28" s="62">
        <f t="shared" si="9"/>
        <v>0</v>
      </c>
      <c r="W28" s="69">
        <f t="shared" si="19"/>
        <v>0</v>
      </c>
      <c r="Y28" s="69">
        <f t="shared" si="53"/>
        <v>0</v>
      </c>
      <c r="Z28" s="68">
        <f t="shared" si="21"/>
        <v>0</v>
      </c>
      <c r="AA28" s="68">
        <f t="shared" si="10"/>
        <v>0</v>
      </c>
      <c r="AB28" s="69">
        <f t="shared" si="22"/>
        <v>0</v>
      </c>
      <c r="AD28" s="69">
        <f t="shared" si="54"/>
        <v>0</v>
      </c>
    </row>
    <row r="29" spans="1:34" ht="15" customHeight="1" outlineLevel="2" x14ac:dyDescent="0.25">
      <c r="B29" s="71">
        <v>2172</v>
      </c>
      <c r="C29" s="72" t="s">
        <v>133</v>
      </c>
      <c r="E29" s="73">
        <v>8464.11</v>
      </c>
      <c r="F29" s="74">
        <f t="shared" si="28"/>
        <v>11665.077887714606</v>
      </c>
      <c r="G29" s="75">
        <v>971.1</v>
      </c>
      <c r="H29" s="56" t="s">
        <v>43</v>
      </c>
      <c r="I29" s="73">
        <f t="shared" si="11"/>
        <v>12.0122313744358</v>
      </c>
      <c r="J29" s="69"/>
      <c r="K29" s="68">
        <f t="shared" si="26"/>
        <v>0</v>
      </c>
      <c r="L29" s="62">
        <f t="shared" si="12"/>
        <v>0</v>
      </c>
      <c r="M29" s="69">
        <f t="shared" si="13"/>
        <v>0</v>
      </c>
      <c r="O29" s="69"/>
      <c r="P29" s="68">
        <f t="shared" si="27"/>
        <v>0</v>
      </c>
      <c r="Q29" s="62">
        <f t="shared" si="15"/>
        <v>0</v>
      </c>
      <c r="R29" s="69">
        <f t="shared" si="16"/>
        <v>0</v>
      </c>
      <c r="T29" s="69"/>
      <c r="U29" s="68">
        <f t="shared" si="18"/>
        <v>0</v>
      </c>
      <c r="V29" s="62">
        <f t="shared" si="9"/>
        <v>0</v>
      </c>
      <c r="W29" s="69">
        <f t="shared" si="19"/>
        <v>0</v>
      </c>
      <c r="Y29" s="69">
        <f t="shared" si="53"/>
        <v>0</v>
      </c>
      <c r="Z29" s="68">
        <f t="shared" si="21"/>
        <v>0</v>
      </c>
      <c r="AA29" s="68">
        <f t="shared" si="10"/>
        <v>0</v>
      </c>
      <c r="AB29" s="69">
        <f t="shared" si="22"/>
        <v>0</v>
      </c>
      <c r="AD29" s="69">
        <f t="shared" si="54"/>
        <v>0</v>
      </c>
    </row>
    <row r="30" spans="1:34" ht="15" customHeight="1" outlineLevel="2" x14ac:dyDescent="0.25">
      <c r="B30" s="71">
        <v>2149</v>
      </c>
      <c r="C30" s="72" t="s">
        <v>48</v>
      </c>
      <c r="E30" s="73">
        <v>8233.24</v>
      </c>
      <c r="F30" s="74">
        <f t="shared" si="28"/>
        <v>11346.897177405232</v>
      </c>
      <c r="G30" s="75">
        <v>971.1</v>
      </c>
      <c r="H30" s="56" t="s">
        <v>43</v>
      </c>
      <c r="I30" s="73">
        <f t="shared" si="11"/>
        <v>11.684581585218032</v>
      </c>
      <c r="J30" s="69"/>
      <c r="K30" s="68">
        <f t="shared" si="26"/>
        <v>0</v>
      </c>
      <c r="L30" s="62">
        <f t="shared" si="12"/>
        <v>0</v>
      </c>
      <c r="M30" s="69">
        <f t="shared" si="13"/>
        <v>0</v>
      </c>
      <c r="O30" s="69"/>
      <c r="P30" s="68">
        <f t="shared" si="27"/>
        <v>0</v>
      </c>
      <c r="Q30" s="62">
        <f t="shared" si="15"/>
        <v>0</v>
      </c>
      <c r="R30" s="69">
        <f t="shared" si="16"/>
        <v>0</v>
      </c>
      <c r="T30" s="69"/>
      <c r="U30" s="68">
        <f t="shared" si="18"/>
        <v>0</v>
      </c>
      <c r="V30" s="62">
        <f t="shared" si="9"/>
        <v>0</v>
      </c>
      <c r="W30" s="69">
        <f t="shared" si="19"/>
        <v>0</v>
      </c>
      <c r="Y30" s="69">
        <f t="shared" si="53"/>
        <v>0</v>
      </c>
      <c r="Z30" s="68">
        <f t="shared" si="21"/>
        <v>0</v>
      </c>
      <c r="AA30" s="68">
        <f t="shared" si="10"/>
        <v>0</v>
      </c>
      <c r="AB30" s="69">
        <f t="shared" si="22"/>
        <v>0</v>
      </c>
      <c r="AD30" s="69">
        <f t="shared" si="54"/>
        <v>0</v>
      </c>
    </row>
    <row r="31" spans="1:34" ht="15" customHeight="1" outlineLevel="2" x14ac:dyDescent="0.25">
      <c r="B31" s="71">
        <v>2150</v>
      </c>
      <c r="C31" s="72" t="s">
        <v>38</v>
      </c>
      <c r="E31" s="73">
        <v>8233.24</v>
      </c>
      <c r="F31" s="74">
        <f t="shared" si="28"/>
        <v>11346.897177405232</v>
      </c>
      <c r="G31" s="75">
        <v>971.1</v>
      </c>
      <c r="H31" s="56" t="s">
        <v>43</v>
      </c>
      <c r="I31" s="73">
        <f t="shared" si="11"/>
        <v>11.684581585218032</v>
      </c>
      <c r="J31" s="69"/>
      <c r="K31" s="68">
        <f t="shared" si="26"/>
        <v>0</v>
      </c>
      <c r="L31" s="62">
        <f t="shared" si="12"/>
        <v>0</v>
      </c>
      <c r="M31" s="69">
        <f t="shared" si="13"/>
        <v>0</v>
      </c>
      <c r="O31" s="69"/>
      <c r="P31" s="68">
        <f t="shared" si="27"/>
        <v>0</v>
      </c>
      <c r="Q31" s="62">
        <f t="shared" si="15"/>
        <v>0</v>
      </c>
      <c r="R31" s="69">
        <f t="shared" si="16"/>
        <v>0</v>
      </c>
      <c r="T31" s="69"/>
      <c r="U31" s="68">
        <f t="shared" si="18"/>
        <v>0</v>
      </c>
      <c r="V31" s="62">
        <f t="shared" si="9"/>
        <v>0</v>
      </c>
      <c r="W31" s="69">
        <f t="shared" si="19"/>
        <v>0</v>
      </c>
      <c r="Y31" s="69">
        <f t="shared" si="53"/>
        <v>0</v>
      </c>
      <c r="Z31" s="68">
        <f t="shared" si="21"/>
        <v>0</v>
      </c>
      <c r="AA31" s="68">
        <f t="shared" si="10"/>
        <v>0</v>
      </c>
      <c r="AB31" s="69">
        <f t="shared" si="22"/>
        <v>0</v>
      </c>
      <c r="AD31" s="69">
        <f t="shared" si="54"/>
        <v>0</v>
      </c>
    </row>
    <row r="32" spans="1:34" ht="15" customHeight="1" outlineLevel="2" x14ac:dyDescent="0.25">
      <c r="B32" s="71">
        <v>2490</v>
      </c>
      <c r="C32" s="72" t="s">
        <v>37</v>
      </c>
      <c r="E32" s="73">
        <v>2913.3</v>
      </c>
      <c r="F32" s="74">
        <f t="shared" si="28"/>
        <v>4015.0555002568444</v>
      </c>
      <c r="G32" s="75">
        <v>971.1</v>
      </c>
      <c r="H32" s="56" t="s">
        <v>43</v>
      </c>
      <c r="I32" s="73">
        <f t="shared" si="11"/>
        <v>4.1345438165552926</v>
      </c>
      <c r="J32" s="69"/>
      <c r="K32" s="68">
        <f t="shared" si="26"/>
        <v>0</v>
      </c>
      <c r="L32" s="62">
        <f t="shared" si="12"/>
        <v>0</v>
      </c>
      <c r="M32" s="69">
        <f t="shared" si="13"/>
        <v>0</v>
      </c>
      <c r="O32" s="69"/>
      <c r="P32" s="68">
        <f t="shared" si="27"/>
        <v>0</v>
      </c>
      <c r="Q32" s="62">
        <f t="shared" si="15"/>
        <v>0</v>
      </c>
      <c r="R32" s="69">
        <f t="shared" si="16"/>
        <v>0</v>
      </c>
      <c r="T32" s="69"/>
      <c r="U32" s="68">
        <f t="shared" si="18"/>
        <v>0</v>
      </c>
      <c r="V32" s="62">
        <f t="shared" si="9"/>
        <v>0</v>
      </c>
      <c r="W32" s="69">
        <f t="shared" si="19"/>
        <v>0</v>
      </c>
      <c r="Y32" s="69">
        <f t="shared" si="53"/>
        <v>0</v>
      </c>
      <c r="Z32" s="68">
        <f t="shared" si="21"/>
        <v>0</v>
      </c>
      <c r="AA32" s="68">
        <f t="shared" si="10"/>
        <v>0</v>
      </c>
      <c r="AB32" s="69">
        <f t="shared" si="22"/>
        <v>0</v>
      </c>
      <c r="AD32" s="69">
        <f t="shared" si="54"/>
        <v>0</v>
      </c>
    </row>
    <row r="33" spans="1:34" ht="15" customHeight="1" outlineLevel="1" x14ac:dyDescent="0.25">
      <c r="A33" s="67"/>
      <c r="B33" s="66"/>
      <c r="C33" s="67" t="s">
        <v>134</v>
      </c>
      <c r="D33" s="68"/>
      <c r="E33" s="68">
        <v>63206.44</v>
      </c>
      <c r="F33" s="68">
        <f t="shared" si="28"/>
        <v>87109.931889491039</v>
      </c>
      <c r="G33" s="69">
        <v>691</v>
      </c>
      <c r="H33" s="67" t="s">
        <v>40</v>
      </c>
      <c r="I33" s="68">
        <f t="shared" si="11"/>
        <v>126.06357726409702</v>
      </c>
      <c r="J33" s="69"/>
      <c r="K33" s="68">
        <f t="shared" si="26"/>
        <v>0</v>
      </c>
      <c r="L33" s="62">
        <f t="shared" si="12"/>
        <v>87109.931889491039</v>
      </c>
      <c r="M33" s="69">
        <f t="shared" si="13"/>
        <v>691</v>
      </c>
      <c r="N33" s="70">
        <f t="shared" ref="N33" si="55">100%-(L33/$F33)</f>
        <v>0</v>
      </c>
      <c r="O33" s="69"/>
      <c r="P33" s="68">
        <f t="shared" si="27"/>
        <v>0</v>
      </c>
      <c r="Q33" s="62">
        <f t="shared" si="15"/>
        <v>87109.931889491039</v>
      </c>
      <c r="R33" s="69">
        <f t="shared" si="16"/>
        <v>691</v>
      </c>
      <c r="S33" s="70">
        <f t="shared" ref="S33" si="56">100%-(Q33/$F33)</f>
        <v>0</v>
      </c>
      <c r="T33" s="69"/>
      <c r="U33" s="68">
        <f t="shared" si="18"/>
        <v>0</v>
      </c>
      <c r="V33" s="62">
        <f t="shared" si="9"/>
        <v>87109.931889491039</v>
      </c>
      <c r="W33" s="69">
        <f t="shared" si="19"/>
        <v>691</v>
      </c>
      <c r="X33" s="70">
        <f t="shared" ref="X33" si="57">100%-(V33/$F33)</f>
        <v>0</v>
      </c>
      <c r="Y33" s="69"/>
      <c r="Z33" s="68">
        <f t="shared" si="21"/>
        <v>0</v>
      </c>
      <c r="AA33" s="68">
        <f t="shared" si="10"/>
        <v>87109.931889491039</v>
      </c>
      <c r="AB33" s="69">
        <f t="shared" si="22"/>
        <v>691</v>
      </c>
      <c r="AC33" s="70">
        <f t="shared" ref="AC33" si="58">100%-(AA33/$F33)</f>
        <v>0</v>
      </c>
      <c r="AD33" s="69"/>
      <c r="AE33" s="68">
        <f>AD33*I33</f>
        <v>0</v>
      </c>
      <c r="AF33" s="68">
        <f>F33-AE33</f>
        <v>87109.931889491039</v>
      </c>
      <c r="AG33" s="69">
        <f>G33-AD33</f>
        <v>691</v>
      </c>
      <c r="AH33" s="70">
        <f t="shared" ref="AH33" si="59">100%-(AF33/$F33)</f>
        <v>0</v>
      </c>
    </row>
    <row r="34" spans="1:34" ht="15" customHeight="1" outlineLevel="2" x14ac:dyDescent="0.25">
      <c r="B34" s="71">
        <v>2450</v>
      </c>
      <c r="C34" s="72" t="s">
        <v>131</v>
      </c>
      <c r="E34" s="73">
        <v>40211.410000000003</v>
      </c>
      <c r="F34" s="74">
        <f t="shared" si="28"/>
        <v>55418.612190156557</v>
      </c>
      <c r="G34" s="75">
        <v>691</v>
      </c>
      <c r="H34" s="56" t="s">
        <v>40</v>
      </c>
      <c r="I34" s="73">
        <f t="shared" si="11"/>
        <v>80.200596512527582</v>
      </c>
      <c r="K34" s="68">
        <f t="shared" si="26"/>
        <v>0</v>
      </c>
      <c r="L34" s="62">
        <f t="shared" si="12"/>
        <v>0</v>
      </c>
      <c r="M34" s="69">
        <f t="shared" si="13"/>
        <v>0</v>
      </c>
      <c r="P34" s="68">
        <f t="shared" si="27"/>
        <v>0</v>
      </c>
      <c r="Q34" s="62">
        <f t="shared" si="15"/>
        <v>0</v>
      </c>
      <c r="R34" s="69">
        <f t="shared" si="16"/>
        <v>0</v>
      </c>
      <c r="U34" s="68">
        <f t="shared" si="18"/>
        <v>0</v>
      </c>
      <c r="V34" s="62">
        <f t="shared" si="9"/>
        <v>0</v>
      </c>
      <c r="W34" s="69">
        <f t="shared" si="19"/>
        <v>0</v>
      </c>
      <c r="Y34" s="75">
        <f t="shared" ref="Y34:Y40" si="60">$AD$33*B34/$G$33</f>
        <v>0</v>
      </c>
      <c r="Z34" s="68">
        <f t="shared" si="21"/>
        <v>0</v>
      </c>
      <c r="AA34" s="68">
        <f t="shared" si="10"/>
        <v>0</v>
      </c>
      <c r="AB34" s="69">
        <f t="shared" si="22"/>
        <v>0</v>
      </c>
      <c r="AD34" s="75">
        <f t="shared" ref="AD34:AD40" si="61">$AD$33*G34/$G$33</f>
        <v>0</v>
      </c>
    </row>
    <row r="35" spans="1:34" ht="15" customHeight="1" outlineLevel="2" x14ac:dyDescent="0.25">
      <c r="B35" s="71">
        <v>2490</v>
      </c>
      <c r="C35" s="72" t="s">
        <v>37</v>
      </c>
      <c r="E35" s="73">
        <v>98.64</v>
      </c>
      <c r="F35" s="74">
        <f t="shared" si="28"/>
        <v>135.943800688338</v>
      </c>
      <c r="G35" s="75">
        <v>3.95</v>
      </c>
      <c r="H35" s="56" t="s">
        <v>43</v>
      </c>
      <c r="I35" s="73">
        <f t="shared" si="11"/>
        <v>34.416152072996958</v>
      </c>
      <c r="K35" s="68">
        <f t="shared" si="26"/>
        <v>0</v>
      </c>
      <c r="L35" s="62">
        <f t="shared" si="12"/>
        <v>0</v>
      </c>
      <c r="M35" s="69">
        <f t="shared" si="13"/>
        <v>0</v>
      </c>
      <c r="P35" s="68">
        <f t="shared" si="27"/>
        <v>0</v>
      </c>
      <c r="Q35" s="62">
        <f t="shared" si="15"/>
        <v>0</v>
      </c>
      <c r="R35" s="69">
        <f t="shared" si="16"/>
        <v>0</v>
      </c>
      <c r="U35" s="68">
        <f t="shared" si="18"/>
        <v>0</v>
      </c>
      <c r="V35" s="62">
        <f t="shared" si="9"/>
        <v>0</v>
      </c>
      <c r="W35" s="69">
        <f t="shared" si="19"/>
        <v>0</v>
      </c>
      <c r="Y35" s="75">
        <f t="shared" si="60"/>
        <v>0</v>
      </c>
      <c r="Z35" s="68">
        <f t="shared" si="21"/>
        <v>0</v>
      </c>
      <c r="AA35" s="68">
        <f t="shared" si="10"/>
        <v>0</v>
      </c>
      <c r="AB35" s="69">
        <f t="shared" si="22"/>
        <v>0</v>
      </c>
      <c r="AD35" s="75">
        <f t="shared" si="61"/>
        <v>0</v>
      </c>
    </row>
    <row r="36" spans="1:34" ht="15" customHeight="1" outlineLevel="2" x14ac:dyDescent="0.25">
      <c r="B36" s="71">
        <v>2150</v>
      </c>
      <c r="C36" s="72" t="s">
        <v>38</v>
      </c>
      <c r="E36" s="73">
        <v>28.62</v>
      </c>
      <c r="F36" s="74">
        <f t="shared" si="28"/>
        <v>39.443548009937487</v>
      </c>
      <c r="G36" s="75">
        <v>3.95</v>
      </c>
      <c r="H36" s="56" t="s">
        <v>43</v>
      </c>
      <c r="I36" s="73">
        <f t="shared" si="11"/>
        <v>9.9857083569461995</v>
      </c>
      <c r="K36" s="68">
        <f t="shared" si="26"/>
        <v>0</v>
      </c>
      <c r="L36" s="62">
        <f t="shared" si="12"/>
        <v>0</v>
      </c>
      <c r="M36" s="69">
        <f t="shared" si="13"/>
        <v>0</v>
      </c>
      <c r="P36" s="68">
        <f t="shared" si="27"/>
        <v>0</v>
      </c>
      <c r="Q36" s="62">
        <f t="shared" si="15"/>
        <v>0</v>
      </c>
      <c r="R36" s="69">
        <f t="shared" si="16"/>
        <v>0</v>
      </c>
      <c r="U36" s="68">
        <f t="shared" si="18"/>
        <v>0</v>
      </c>
      <c r="V36" s="62">
        <f t="shared" si="9"/>
        <v>0</v>
      </c>
      <c r="W36" s="69">
        <f t="shared" si="19"/>
        <v>0</v>
      </c>
      <c r="Y36" s="75">
        <f t="shared" si="60"/>
        <v>0</v>
      </c>
      <c r="Z36" s="68">
        <f t="shared" si="21"/>
        <v>0</v>
      </c>
      <c r="AA36" s="68">
        <f t="shared" si="10"/>
        <v>0</v>
      </c>
      <c r="AB36" s="69">
        <f t="shared" si="22"/>
        <v>0</v>
      </c>
      <c r="AD36" s="75">
        <f t="shared" si="61"/>
        <v>0</v>
      </c>
    </row>
    <row r="37" spans="1:34" ht="15" customHeight="1" outlineLevel="2" x14ac:dyDescent="0.25">
      <c r="B37" s="71">
        <v>2172</v>
      </c>
      <c r="C37" s="72" t="s">
        <v>133</v>
      </c>
      <c r="E37" s="73">
        <v>6951.45</v>
      </c>
      <c r="F37" s="74">
        <f t="shared" si="28"/>
        <v>9580.3582045310959</v>
      </c>
      <c r="G37" s="75">
        <v>797.55</v>
      </c>
      <c r="H37" s="56" t="s">
        <v>43</v>
      </c>
      <c r="I37" s="73">
        <f t="shared" si="11"/>
        <v>12.012235226043629</v>
      </c>
      <c r="K37" s="68">
        <f t="shared" si="26"/>
        <v>0</v>
      </c>
      <c r="L37" s="62">
        <f t="shared" si="12"/>
        <v>0</v>
      </c>
      <c r="M37" s="69">
        <f t="shared" si="13"/>
        <v>0</v>
      </c>
      <c r="P37" s="68">
        <f t="shared" si="27"/>
        <v>0</v>
      </c>
      <c r="Q37" s="62">
        <f t="shared" si="15"/>
        <v>0</v>
      </c>
      <c r="R37" s="69">
        <f t="shared" si="16"/>
        <v>0</v>
      </c>
      <c r="U37" s="68">
        <f t="shared" si="18"/>
        <v>0</v>
      </c>
      <c r="V37" s="62">
        <f t="shared" si="9"/>
        <v>0</v>
      </c>
      <c r="W37" s="69">
        <f t="shared" si="19"/>
        <v>0</v>
      </c>
      <c r="Y37" s="75">
        <f t="shared" si="60"/>
        <v>0</v>
      </c>
      <c r="Z37" s="68">
        <f t="shared" si="21"/>
        <v>0</v>
      </c>
      <c r="AA37" s="68">
        <f t="shared" si="10"/>
        <v>0</v>
      </c>
      <c r="AB37" s="69">
        <f t="shared" si="22"/>
        <v>0</v>
      </c>
      <c r="AD37" s="75">
        <f t="shared" si="61"/>
        <v>0</v>
      </c>
    </row>
    <row r="38" spans="1:34" ht="15" customHeight="1" outlineLevel="2" x14ac:dyDescent="0.25">
      <c r="B38" s="71">
        <v>2149</v>
      </c>
      <c r="C38" s="72" t="s">
        <v>48</v>
      </c>
      <c r="E38" s="73">
        <v>6761.84</v>
      </c>
      <c r="F38" s="74">
        <f t="shared" si="28"/>
        <v>9319.0412535120795</v>
      </c>
      <c r="G38" s="75">
        <v>797.55</v>
      </c>
      <c r="H38" s="56" t="s">
        <v>43</v>
      </c>
      <c r="I38" s="73">
        <f t="shared" si="11"/>
        <v>11.68458561032171</v>
      </c>
      <c r="K38" s="68">
        <f t="shared" si="26"/>
        <v>0</v>
      </c>
      <c r="L38" s="62">
        <f t="shared" si="12"/>
        <v>0</v>
      </c>
      <c r="M38" s="69">
        <f t="shared" si="13"/>
        <v>0</v>
      </c>
      <c r="P38" s="68">
        <f t="shared" si="27"/>
        <v>0</v>
      </c>
      <c r="Q38" s="62">
        <f t="shared" si="15"/>
        <v>0</v>
      </c>
      <c r="R38" s="69">
        <f t="shared" si="16"/>
        <v>0</v>
      </c>
      <c r="U38" s="68">
        <f t="shared" si="18"/>
        <v>0</v>
      </c>
      <c r="V38" s="62">
        <f t="shared" si="9"/>
        <v>0</v>
      </c>
      <c r="W38" s="69">
        <f t="shared" si="19"/>
        <v>0</v>
      </c>
      <c r="Y38" s="75">
        <f t="shared" si="60"/>
        <v>0</v>
      </c>
      <c r="Z38" s="68">
        <f t="shared" si="21"/>
        <v>0</v>
      </c>
      <c r="AA38" s="68">
        <f t="shared" si="10"/>
        <v>0</v>
      </c>
      <c r="AB38" s="69">
        <f t="shared" si="22"/>
        <v>0</v>
      </c>
      <c r="AD38" s="75">
        <f t="shared" si="61"/>
        <v>0</v>
      </c>
    </row>
    <row r="39" spans="1:34" ht="15" customHeight="1" outlineLevel="2" x14ac:dyDescent="0.25">
      <c r="B39" s="71">
        <v>2150</v>
      </c>
      <c r="C39" s="72" t="s">
        <v>38</v>
      </c>
      <c r="E39" s="73">
        <v>6761.84</v>
      </c>
      <c r="F39" s="74">
        <f t="shared" si="28"/>
        <v>9319.0412535120795</v>
      </c>
      <c r="G39" s="75">
        <v>797.55</v>
      </c>
      <c r="H39" s="56" t="s">
        <v>43</v>
      </c>
      <c r="I39" s="73">
        <f t="shared" si="11"/>
        <v>11.68458561032171</v>
      </c>
      <c r="K39" s="68">
        <f t="shared" si="26"/>
        <v>0</v>
      </c>
      <c r="L39" s="62">
        <f t="shared" si="12"/>
        <v>0</v>
      </c>
      <c r="M39" s="69">
        <f t="shared" si="13"/>
        <v>0</v>
      </c>
      <c r="P39" s="68">
        <f t="shared" si="27"/>
        <v>0</v>
      </c>
      <c r="Q39" s="62">
        <f t="shared" si="15"/>
        <v>0</v>
      </c>
      <c r="R39" s="69">
        <f t="shared" si="16"/>
        <v>0</v>
      </c>
      <c r="U39" s="68">
        <f t="shared" ref="U39:U70" si="62">T39*D39</f>
        <v>0</v>
      </c>
      <c r="V39" s="62">
        <f t="shared" si="9"/>
        <v>0</v>
      </c>
      <c r="W39" s="69">
        <f t="shared" si="19"/>
        <v>0</v>
      </c>
      <c r="Y39" s="75">
        <f t="shared" si="60"/>
        <v>0</v>
      </c>
      <c r="Z39" s="68">
        <f t="shared" ref="Z39:Z70" si="63">Y39*I39</f>
        <v>0</v>
      </c>
      <c r="AA39" s="68">
        <f t="shared" si="10"/>
        <v>0</v>
      </c>
      <c r="AB39" s="69">
        <f t="shared" si="22"/>
        <v>0</v>
      </c>
      <c r="AD39" s="75">
        <f t="shared" si="61"/>
        <v>0</v>
      </c>
    </row>
    <row r="40" spans="1:34" ht="15" customHeight="1" outlineLevel="2" x14ac:dyDescent="0.25">
      <c r="B40" s="71">
        <v>2490</v>
      </c>
      <c r="C40" s="72" t="s">
        <v>37</v>
      </c>
      <c r="E40" s="73">
        <v>2392.65</v>
      </c>
      <c r="F40" s="74">
        <f t="shared" si="28"/>
        <v>3297.5054208936735</v>
      </c>
      <c r="G40" s="75">
        <v>797.55</v>
      </c>
      <c r="H40" s="56" t="s">
        <v>43</v>
      </c>
      <c r="I40" s="73">
        <f t="shared" si="11"/>
        <v>4.1345438165552926</v>
      </c>
      <c r="K40" s="68">
        <f t="shared" si="26"/>
        <v>0</v>
      </c>
      <c r="L40" s="62">
        <f t="shared" si="12"/>
        <v>0</v>
      </c>
      <c r="M40" s="69">
        <f t="shared" si="13"/>
        <v>0</v>
      </c>
      <c r="P40" s="68">
        <f t="shared" si="27"/>
        <v>0</v>
      </c>
      <c r="Q40" s="62">
        <f t="shared" si="15"/>
        <v>0</v>
      </c>
      <c r="R40" s="69">
        <f t="shared" si="16"/>
        <v>0</v>
      </c>
      <c r="U40" s="68">
        <f t="shared" si="62"/>
        <v>0</v>
      </c>
      <c r="V40" s="62">
        <f t="shared" si="9"/>
        <v>0</v>
      </c>
      <c r="W40" s="69">
        <f t="shared" si="19"/>
        <v>0</v>
      </c>
      <c r="Y40" s="75">
        <f t="shared" si="60"/>
        <v>0</v>
      </c>
      <c r="Z40" s="68">
        <f t="shared" si="63"/>
        <v>0</v>
      </c>
      <c r="AA40" s="68">
        <f t="shared" si="10"/>
        <v>0</v>
      </c>
      <c r="AB40" s="69">
        <f t="shared" si="22"/>
        <v>0</v>
      </c>
      <c r="AD40" s="75">
        <f t="shared" si="61"/>
        <v>0</v>
      </c>
    </row>
    <row r="41" spans="1:34" ht="15" customHeight="1" outlineLevel="1" x14ac:dyDescent="0.25">
      <c r="A41" s="67"/>
      <c r="B41" s="66"/>
      <c r="C41" s="67" t="s">
        <v>135</v>
      </c>
      <c r="D41" s="68"/>
      <c r="E41" s="68">
        <v>32782</v>
      </c>
      <c r="F41" s="68">
        <f t="shared" si="28"/>
        <v>45179.538464771867</v>
      </c>
      <c r="G41" s="69">
        <v>1069</v>
      </c>
      <c r="H41" s="67" t="s">
        <v>40</v>
      </c>
      <c r="I41" s="68">
        <f t="shared" si="11"/>
        <v>42.263366197167322</v>
      </c>
      <c r="J41" s="69"/>
      <c r="K41" s="68">
        <f t="shared" si="26"/>
        <v>0</v>
      </c>
      <c r="L41" s="62">
        <f t="shared" si="12"/>
        <v>45179.538464771867</v>
      </c>
      <c r="M41" s="69">
        <f t="shared" si="13"/>
        <v>1069</v>
      </c>
      <c r="N41" s="70">
        <f t="shared" ref="N41" si="64">100%-(L41/$F41)</f>
        <v>0</v>
      </c>
      <c r="O41" s="69"/>
      <c r="P41" s="68">
        <f t="shared" si="27"/>
        <v>0</v>
      </c>
      <c r="Q41" s="62">
        <f t="shared" si="15"/>
        <v>45179.538464771867</v>
      </c>
      <c r="R41" s="69">
        <f t="shared" si="16"/>
        <v>1069</v>
      </c>
      <c r="S41" s="70">
        <f t="shared" ref="S41" si="65">100%-(Q41/$F41)</f>
        <v>0</v>
      </c>
      <c r="T41" s="69"/>
      <c r="U41" s="68">
        <f t="shared" si="62"/>
        <v>0</v>
      </c>
      <c r="V41" s="62">
        <f t="shared" si="9"/>
        <v>45179.538464771867</v>
      </c>
      <c r="W41" s="69">
        <f t="shared" si="19"/>
        <v>1069</v>
      </c>
      <c r="X41" s="70">
        <f t="shared" ref="X41" si="66">100%-(V41/$F41)</f>
        <v>0</v>
      </c>
      <c r="Y41" s="69"/>
      <c r="Z41" s="68">
        <f t="shared" si="63"/>
        <v>0</v>
      </c>
      <c r="AA41" s="68">
        <f t="shared" si="10"/>
        <v>45179.538464771867</v>
      </c>
      <c r="AB41" s="69">
        <f t="shared" si="22"/>
        <v>1069</v>
      </c>
      <c r="AC41" s="70">
        <f t="shared" ref="AC41" si="67">100%-(AA41/$F41)</f>
        <v>0</v>
      </c>
      <c r="AD41" s="69"/>
      <c r="AE41" s="68">
        <f>AD41*I41</f>
        <v>0</v>
      </c>
      <c r="AF41" s="68">
        <f>F41-AE41</f>
        <v>45179.538464771867</v>
      </c>
      <c r="AG41" s="69">
        <f>G41-AD41</f>
        <v>1069</v>
      </c>
      <c r="AH41" s="70">
        <f t="shared" ref="AH41" si="68">100%-(AF41/$F41)</f>
        <v>0</v>
      </c>
    </row>
    <row r="42" spans="1:34" ht="15" customHeight="1" outlineLevel="2" x14ac:dyDescent="0.25">
      <c r="B42" s="71">
        <v>2450</v>
      </c>
      <c r="C42" s="72" t="s">
        <v>131</v>
      </c>
      <c r="E42" s="73">
        <v>31104.19</v>
      </c>
      <c r="F42" s="74">
        <f t="shared" si="28"/>
        <v>42867.212144486984</v>
      </c>
      <c r="G42" s="75">
        <v>1069</v>
      </c>
      <c r="H42" s="56" t="s">
        <v>40</v>
      </c>
      <c r="I42" s="73">
        <f t="shared" si="11"/>
        <v>40.100291996713736</v>
      </c>
      <c r="K42" s="68">
        <f t="shared" si="26"/>
        <v>0</v>
      </c>
      <c r="L42" s="62">
        <f t="shared" si="12"/>
        <v>0</v>
      </c>
      <c r="M42" s="69">
        <f t="shared" si="13"/>
        <v>0</v>
      </c>
      <c r="P42" s="68">
        <f t="shared" si="27"/>
        <v>0</v>
      </c>
      <c r="Q42" s="62">
        <f t="shared" si="15"/>
        <v>0</v>
      </c>
      <c r="R42" s="69">
        <f t="shared" si="16"/>
        <v>0</v>
      </c>
      <c r="U42" s="68">
        <f t="shared" si="62"/>
        <v>0</v>
      </c>
      <c r="V42" s="62">
        <f t="shared" si="9"/>
        <v>0</v>
      </c>
      <c r="W42" s="69">
        <f t="shared" si="19"/>
        <v>0</v>
      </c>
      <c r="Y42" s="75">
        <f>$AD$41*B42/$G$41</f>
        <v>0</v>
      </c>
      <c r="Z42" s="68">
        <f t="shared" si="63"/>
        <v>0</v>
      </c>
      <c r="AA42" s="68">
        <f t="shared" si="10"/>
        <v>0</v>
      </c>
      <c r="AB42" s="69">
        <f t="shared" si="22"/>
        <v>0</v>
      </c>
      <c r="AD42" s="75">
        <f>$AD$41*G42/$G$41</f>
        <v>0</v>
      </c>
    </row>
    <row r="43" spans="1:34" ht="15" customHeight="1" outlineLevel="2" x14ac:dyDescent="0.25">
      <c r="B43" s="71">
        <v>2490</v>
      </c>
      <c r="C43" s="72" t="s">
        <v>37</v>
      </c>
      <c r="E43" s="73">
        <v>648.27</v>
      </c>
      <c r="F43" s="74">
        <f t="shared" si="28"/>
        <v>893.43357331943309</v>
      </c>
      <c r="G43" s="75">
        <v>67.88</v>
      </c>
      <c r="H43" s="56" t="s">
        <v>43</v>
      </c>
      <c r="I43" s="73">
        <f t="shared" si="11"/>
        <v>13.161956000580924</v>
      </c>
      <c r="K43" s="68">
        <f t="shared" si="26"/>
        <v>0</v>
      </c>
      <c r="L43" s="62">
        <f t="shared" si="12"/>
        <v>0</v>
      </c>
      <c r="M43" s="69">
        <f t="shared" si="13"/>
        <v>0</v>
      </c>
      <c r="P43" s="68">
        <f t="shared" si="27"/>
        <v>0</v>
      </c>
      <c r="Q43" s="62">
        <f t="shared" si="15"/>
        <v>0</v>
      </c>
      <c r="R43" s="69">
        <f t="shared" si="16"/>
        <v>0</v>
      </c>
      <c r="U43" s="68">
        <f t="shared" si="62"/>
        <v>0</v>
      </c>
      <c r="V43" s="62">
        <f t="shared" si="9"/>
        <v>0</v>
      </c>
      <c r="W43" s="69">
        <f t="shared" si="19"/>
        <v>0</v>
      </c>
      <c r="Y43" s="75">
        <f>$AD$41*B43/$G$41</f>
        <v>0</v>
      </c>
      <c r="Z43" s="68">
        <f t="shared" si="63"/>
        <v>0</v>
      </c>
      <c r="AA43" s="68">
        <f t="shared" si="10"/>
        <v>0</v>
      </c>
      <c r="AB43" s="69">
        <f t="shared" si="22"/>
        <v>0</v>
      </c>
      <c r="AD43" s="75">
        <f>$AD$41*G43/$G$41</f>
        <v>0</v>
      </c>
    </row>
    <row r="44" spans="1:34" ht="15" customHeight="1" outlineLevel="2" x14ac:dyDescent="0.25">
      <c r="B44" s="71">
        <v>2150</v>
      </c>
      <c r="C44" s="72" t="s">
        <v>38</v>
      </c>
      <c r="E44" s="73">
        <v>1029.54</v>
      </c>
      <c r="F44" s="74">
        <f t="shared" si="28"/>
        <v>1418.8927469654452</v>
      </c>
      <c r="G44" s="75">
        <v>67.88</v>
      </c>
      <c r="H44" s="56" t="s">
        <v>43</v>
      </c>
      <c r="I44" s="73">
        <f t="shared" si="11"/>
        <v>20.902957380162718</v>
      </c>
      <c r="K44" s="68">
        <f t="shared" si="26"/>
        <v>0</v>
      </c>
      <c r="L44" s="62">
        <f t="shared" si="12"/>
        <v>0</v>
      </c>
      <c r="M44" s="69">
        <f t="shared" si="13"/>
        <v>0</v>
      </c>
      <c r="P44" s="68">
        <f t="shared" si="27"/>
        <v>0</v>
      </c>
      <c r="Q44" s="62">
        <f t="shared" si="15"/>
        <v>0</v>
      </c>
      <c r="R44" s="69">
        <f t="shared" si="16"/>
        <v>0</v>
      </c>
      <c r="U44" s="68">
        <f t="shared" si="62"/>
        <v>0</v>
      </c>
      <c r="V44" s="62">
        <f t="shared" si="9"/>
        <v>0</v>
      </c>
      <c r="W44" s="69">
        <f t="shared" si="19"/>
        <v>0</v>
      </c>
      <c r="Y44" s="75">
        <f>$AD$41*B44/$G$41</f>
        <v>0</v>
      </c>
      <c r="Z44" s="68">
        <f t="shared" si="63"/>
        <v>0</v>
      </c>
      <c r="AA44" s="68">
        <f t="shared" si="10"/>
        <v>0</v>
      </c>
      <c r="AB44" s="69">
        <f t="shared" si="22"/>
        <v>0</v>
      </c>
      <c r="AD44" s="75">
        <f>$AD$41*G44/$G$41</f>
        <v>0</v>
      </c>
    </row>
    <row r="45" spans="1:34" ht="15" customHeight="1" outlineLevel="1" x14ac:dyDescent="0.25">
      <c r="A45" s="67"/>
      <c r="B45" s="66"/>
      <c r="C45" s="67" t="s">
        <v>136</v>
      </c>
      <c r="D45" s="68"/>
      <c r="E45" s="68">
        <v>2652.02</v>
      </c>
      <c r="F45" s="68">
        <f t="shared" si="28"/>
        <v>3654.9642974603221</v>
      </c>
      <c r="G45" s="69">
        <v>12</v>
      </c>
      <c r="H45" s="67" t="s">
        <v>39</v>
      </c>
      <c r="I45" s="68">
        <f t="shared" si="11"/>
        <v>304.58035812169351</v>
      </c>
      <c r="J45" s="69">
        <v>6</v>
      </c>
      <c r="K45" s="68">
        <f t="shared" si="26"/>
        <v>1827.482148730161</v>
      </c>
      <c r="L45" s="62">
        <f t="shared" si="12"/>
        <v>1827.482148730161</v>
      </c>
      <c r="M45" s="69">
        <f t="shared" si="13"/>
        <v>6</v>
      </c>
      <c r="N45" s="70">
        <f t="shared" ref="N45" si="69">100%-(L45/$F45)</f>
        <v>0.5</v>
      </c>
      <c r="O45" s="69"/>
      <c r="P45" s="68">
        <f t="shared" si="27"/>
        <v>0</v>
      </c>
      <c r="Q45" s="62">
        <f t="shared" si="15"/>
        <v>3654.9642974603221</v>
      </c>
      <c r="R45" s="69">
        <f t="shared" si="16"/>
        <v>12</v>
      </c>
      <c r="S45" s="70">
        <f t="shared" ref="S45" si="70">100%-(Q45/$F45)</f>
        <v>0</v>
      </c>
      <c r="T45" s="69"/>
      <c r="U45" s="68">
        <f t="shared" si="62"/>
        <v>0</v>
      </c>
      <c r="V45" s="62">
        <f t="shared" si="9"/>
        <v>3654.9642974603221</v>
      </c>
      <c r="W45" s="69">
        <f t="shared" si="19"/>
        <v>12</v>
      </c>
      <c r="X45" s="70">
        <f t="shared" ref="X45" si="71">100%-(V45/$F45)</f>
        <v>0</v>
      </c>
      <c r="Y45" s="69"/>
      <c r="Z45" s="68">
        <f t="shared" si="63"/>
        <v>0</v>
      </c>
      <c r="AA45" s="68">
        <f t="shared" si="10"/>
        <v>3654.9642974603221</v>
      </c>
      <c r="AB45" s="69">
        <f t="shared" si="22"/>
        <v>12</v>
      </c>
      <c r="AC45" s="70">
        <f t="shared" ref="AC45" si="72">100%-(AA45/$F45)</f>
        <v>0</v>
      </c>
      <c r="AD45" s="69"/>
      <c r="AE45" s="68">
        <f>AD45*I45</f>
        <v>0</v>
      </c>
      <c r="AF45" s="68">
        <f>F45-AE45</f>
        <v>3654.9642974603221</v>
      </c>
      <c r="AG45" s="69">
        <f>G45-AD45</f>
        <v>12</v>
      </c>
      <c r="AH45" s="70">
        <f t="shared" ref="AH45" si="73">100%-(AF45/$F45)</f>
        <v>0</v>
      </c>
    </row>
    <row r="46" spans="1:34" ht="15" customHeight="1" outlineLevel="2" x14ac:dyDescent="0.25">
      <c r="B46" s="71">
        <v>2435</v>
      </c>
      <c r="C46" s="72" t="s">
        <v>137</v>
      </c>
      <c r="E46" s="73">
        <v>2577.87</v>
      </c>
      <c r="F46" s="74">
        <f t="shared" si="28"/>
        <v>3552.7721561277972</v>
      </c>
      <c r="G46" s="75">
        <v>12</v>
      </c>
      <c r="H46" s="56" t="s">
        <v>39</v>
      </c>
      <c r="I46" s="73">
        <f t="shared" si="11"/>
        <v>296.06434634398312</v>
      </c>
      <c r="K46" s="68">
        <f t="shared" si="26"/>
        <v>0</v>
      </c>
      <c r="L46" s="62">
        <f t="shared" si="12"/>
        <v>0</v>
      </c>
      <c r="M46" s="69">
        <f t="shared" si="13"/>
        <v>0</v>
      </c>
      <c r="P46" s="68">
        <f t="shared" si="27"/>
        <v>0</v>
      </c>
      <c r="Q46" s="62">
        <f t="shared" si="15"/>
        <v>0</v>
      </c>
      <c r="R46" s="69">
        <f t="shared" si="16"/>
        <v>0</v>
      </c>
      <c r="U46" s="68">
        <f t="shared" si="62"/>
        <v>0</v>
      </c>
      <c r="V46" s="62">
        <f t="shared" si="9"/>
        <v>0</v>
      </c>
      <c r="W46" s="69">
        <f t="shared" si="19"/>
        <v>0</v>
      </c>
      <c r="Y46" s="75">
        <f>$AD$45*B46/$G$45</f>
        <v>0</v>
      </c>
      <c r="Z46" s="68">
        <f t="shared" si="63"/>
        <v>0</v>
      </c>
      <c r="AA46" s="68">
        <f t="shared" si="10"/>
        <v>0</v>
      </c>
      <c r="AB46" s="69">
        <f t="shared" si="22"/>
        <v>0</v>
      </c>
      <c r="AD46" s="75">
        <f>$AD$45*G46/$G$45</f>
        <v>0</v>
      </c>
    </row>
    <row r="47" spans="1:34" ht="15" customHeight="1" outlineLevel="2" x14ac:dyDescent="0.25">
      <c r="B47" s="71">
        <v>2490</v>
      </c>
      <c r="C47" s="72" t="s">
        <v>37</v>
      </c>
      <c r="E47" s="73">
        <v>28.65</v>
      </c>
      <c r="F47" s="74">
        <f t="shared" si="28"/>
        <v>39.484893448103037</v>
      </c>
      <c r="G47" s="75">
        <v>3</v>
      </c>
      <c r="H47" s="56" t="s">
        <v>43</v>
      </c>
      <c r="I47" s="73">
        <f t="shared" si="11"/>
        <v>13.161631149367679</v>
      </c>
      <c r="K47" s="68">
        <f t="shared" si="26"/>
        <v>0</v>
      </c>
      <c r="L47" s="62">
        <f t="shared" si="12"/>
        <v>0</v>
      </c>
      <c r="M47" s="69">
        <f t="shared" si="13"/>
        <v>0</v>
      </c>
      <c r="P47" s="68">
        <f t="shared" si="27"/>
        <v>0</v>
      </c>
      <c r="Q47" s="62">
        <f t="shared" si="15"/>
        <v>0</v>
      </c>
      <c r="R47" s="69">
        <f t="shared" si="16"/>
        <v>0</v>
      </c>
      <c r="U47" s="68">
        <f t="shared" si="62"/>
        <v>0</v>
      </c>
      <c r="V47" s="62">
        <f t="shared" si="9"/>
        <v>0</v>
      </c>
      <c r="W47" s="69">
        <f t="shared" si="19"/>
        <v>0</v>
      </c>
      <c r="Y47" s="75">
        <f>$AD$45*B47/$G$45</f>
        <v>0</v>
      </c>
      <c r="Z47" s="68">
        <f t="shared" si="63"/>
        <v>0</v>
      </c>
      <c r="AA47" s="68">
        <f t="shared" si="10"/>
        <v>0</v>
      </c>
      <c r="AB47" s="69">
        <f t="shared" si="22"/>
        <v>0</v>
      </c>
      <c r="AD47" s="75">
        <f>$AD$45*G47/$G$45</f>
        <v>0</v>
      </c>
    </row>
    <row r="48" spans="1:34" ht="15" customHeight="1" outlineLevel="2" x14ac:dyDescent="0.25">
      <c r="B48" s="71">
        <v>2150</v>
      </c>
      <c r="C48" s="72" t="s">
        <v>38</v>
      </c>
      <c r="E48" s="73">
        <v>45.5</v>
      </c>
      <c r="F48" s="74">
        <f t="shared" si="28"/>
        <v>62.707247884421932</v>
      </c>
      <c r="G48" s="75">
        <v>3</v>
      </c>
      <c r="H48" s="56" t="s">
        <v>43</v>
      </c>
      <c r="I48" s="73">
        <f t="shared" si="11"/>
        <v>20.902415961473977</v>
      </c>
      <c r="K48" s="68">
        <f t="shared" si="26"/>
        <v>0</v>
      </c>
      <c r="L48" s="62">
        <f t="shared" si="12"/>
        <v>0</v>
      </c>
      <c r="M48" s="69">
        <f t="shared" si="13"/>
        <v>0</v>
      </c>
      <c r="P48" s="68">
        <f t="shared" si="27"/>
        <v>0</v>
      </c>
      <c r="Q48" s="62">
        <f t="shared" si="15"/>
        <v>0</v>
      </c>
      <c r="R48" s="69">
        <f t="shared" si="16"/>
        <v>0</v>
      </c>
      <c r="U48" s="68">
        <f t="shared" si="62"/>
        <v>0</v>
      </c>
      <c r="V48" s="62">
        <f t="shared" si="9"/>
        <v>0</v>
      </c>
      <c r="W48" s="69">
        <f t="shared" si="19"/>
        <v>0</v>
      </c>
      <c r="Y48" s="75">
        <f>$AD$45*B48/$G$45</f>
        <v>0</v>
      </c>
      <c r="Z48" s="68">
        <f t="shared" si="63"/>
        <v>0</v>
      </c>
      <c r="AA48" s="68">
        <f t="shared" si="10"/>
        <v>0</v>
      </c>
      <c r="AB48" s="69">
        <f t="shared" si="22"/>
        <v>0</v>
      </c>
      <c r="AD48" s="75">
        <f>$AD$45*G48/$G$45</f>
        <v>0</v>
      </c>
    </row>
    <row r="49" spans="1:34" ht="15" customHeight="1" outlineLevel="1" x14ac:dyDescent="0.25">
      <c r="A49" s="77"/>
      <c r="B49" s="66"/>
      <c r="C49" s="67" t="s">
        <v>138</v>
      </c>
      <c r="D49" s="68"/>
      <c r="E49" s="68">
        <v>2446.81</v>
      </c>
      <c r="F49" s="68">
        <f t="shared" si="28"/>
        <v>3372.1477185952181</v>
      </c>
      <c r="G49" s="69">
        <v>5</v>
      </c>
      <c r="H49" s="67" t="s">
        <v>39</v>
      </c>
      <c r="I49" s="68">
        <f t="shared" si="11"/>
        <v>674.42954371904364</v>
      </c>
      <c r="J49" s="69">
        <v>1</v>
      </c>
      <c r="K49" s="68">
        <f t="shared" si="26"/>
        <v>674.42954371904364</v>
      </c>
      <c r="L49" s="62">
        <f t="shared" si="12"/>
        <v>2697.7181748761745</v>
      </c>
      <c r="M49" s="69">
        <f t="shared" si="13"/>
        <v>4</v>
      </c>
      <c r="N49" s="70">
        <f t="shared" ref="N49" si="74">100%-(L49/$F49)</f>
        <v>0.19999999999999996</v>
      </c>
      <c r="O49" s="69"/>
      <c r="P49" s="68">
        <f t="shared" si="27"/>
        <v>0</v>
      </c>
      <c r="Q49" s="62">
        <f t="shared" si="15"/>
        <v>3372.1477185952181</v>
      </c>
      <c r="R49" s="69">
        <f t="shared" si="16"/>
        <v>5</v>
      </c>
      <c r="S49" s="70">
        <f t="shared" ref="S49" si="75">100%-(Q49/$F49)</f>
        <v>0</v>
      </c>
      <c r="T49" s="69"/>
      <c r="U49" s="68">
        <f t="shared" si="62"/>
        <v>0</v>
      </c>
      <c r="V49" s="62">
        <f t="shared" si="9"/>
        <v>3372.1477185952181</v>
      </c>
      <c r="W49" s="69">
        <f t="shared" si="19"/>
        <v>5</v>
      </c>
      <c r="X49" s="70">
        <f t="shared" ref="X49" si="76">100%-(V49/$F49)</f>
        <v>0</v>
      </c>
      <c r="Y49" s="69"/>
      <c r="Z49" s="68">
        <f t="shared" si="63"/>
        <v>0</v>
      </c>
      <c r="AA49" s="68">
        <f t="shared" si="10"/>
        <v>3372.1477185952181</v>
      </c>
      <c r="AB49" s="69">
        <f t="shared" si="22"/>
        <v>5</v>
      </c>
      <c r="AC49" s="70">
        <f t="shared" ref="AC49" si="77">100%-(AA49/$F49)</f>
        <v>0</v>
      </c>
      <c r="AD49" s="69"/>
      <c r="AE49" s="68">
        <f>AD49*I49</f>
        <v>0</v>
      </c>
      <c r="AF49" s="68">
        <f>F49-AE49</f>
        <v>3372.1477185952181</v>
      </c>
      <c r="AG49" s="69">
        <f>G49-AD49</f>
        <v>5</v>
      </c>
      <c r="AH49" s="70">
        <f t="shared" ref="AH49" si="78">100%-(AF49/$F49)</f>
        <v>0</v>
      </c>
    </row>
    <row r="50" spans="1:34" ht="15" customHeight="1" outlineLevel="2" x14ac:dyDescent="0.25">
      <c r="B50" s="71">
        <v>2400</v>
      </c>
      <c r="C50" s="72" t="s">
        <v>139</v>
      </c>
      <c r="E50" s="73">
        <v>2418.1799999999998</v>
      </c>
      <c r="F50" s="74">
        <f t="shared" si="28"/>
        <v>3332.6903887725589</v>
      </c>
      <c r="G50" s="75">
        <v>1</v>
      </c>
      <c r="H50" s="56" t="s">
        <v>34</v>
      </c>
      <c r="I50" s="73">
        <f t="shared" si="11"/>
        <v>3332.6903887725589</v>
      </c>
      <c r="K50" s="68">
        <f t="shared" si="26"/>
        <v>0</v>
      </c>
      <c r="L50" s="62">
        <f t="shared" si="12"/>
        <v>0</v>
      </c>
      <c r="M50" s="69">
        <f t="shared" si="13"/>
        <v>0</v>
      </c>
      <c r="P50" s="68">
        <f t="shared" si="27"/>
        <v>0</v>
      </c>
      <c r="Q50" s="62">
        <f t="shared" si="15"/>
        <v>0</v>
      </c>
      <c r="R50" s="69">
        <f t="shared" si="16"/>
        <v>0</v>
      </c>
      <c r="U50" s="68">
        <f t="shared" si="62"/>
        <v>0</v>
      </c>
      <c r="V50" s="62">
        <f t="shared" si="9"/>
        <v>0</v>
      </c>
      <c r="W50" s="69">
        <f t="shared" si="19"/>
        <v>0</v>
      </c>
      <c r="Y50" s="75">
        <f>$AD$49*B50/$G$49</f>
        <v>0</v>
      </c>
      <c r="Z50" s="68">
        <f t="shared" si="63"/>
        <v>0</v>
      </c>
      <c r="AA50" s="68">
        <f t="shared" si="10"/>
        <v>0</v>
      </c>
      <c r="AB50" s="69">
        <f t="shared" si="22"/>
        <v>0</v>
      </c>
      <c r="AD50" s="75">
        <f>$AD$49*G50/$G$49</f>
        <v>0</v>
      </c>
    </row>
    <row r="51" spans="1:34" ht="15" customHeight="1" outlineLevel="2" x14ac:dyDescent="0.25">
      <c r="B51" s="71">
        <v>2490</v>
      </c>
      <c r="C51" s="72" t="s">
        <v>37</v>
      </c>
      <c r="E51" s="73">
        <v>25</v>
      </c>
      <c r="F51" s="74">
        <f t="shared" si="28"/>
        <v>34.454531804627436</v>
      </c>
      <c r="G51" s="75">
        <v>0.5</v>
      </c>
      <c r="H51" s="56" t="s">
        <v>43</v>
      </c>
      <c r="I51" s="73">
        <f t="shared" si="11"/>
        <v>68.909063609254872</v>
      </c>
      <c r="K51" s="68">
        <f t="shared" si="26"/>
        <v>0</v>
      </c>
      <c r="L51" s="62">
        <f t="shared" si="12"/>
        <v>0</v>
      </c>
      <c r="M51" s="69">
        <f t="shared" si="13"/>
        <v>0</v>
      </c>
      <c r="P51" s="68">
        <f t="shared" si="27"/>
        <v>0</v>
      </c>
      <c r="Q51" s="62">
        <f t="shared" si="15"/>
        <v>0</v>
      </c>
      <c r="R51" s="69">
        <f t="shared" si="16"/>
        <v>0</v>
      </c>
      <c r="U51" s="68">
        <f t="shared" si="62"/>
        <v>0</v>
      </c>
      <c r="V51" s="62">
        <f t="shared" si="9"/>
        <v>0</v>
      </c>
      <c r="W51" s="69">
        <f t="shared" si="19"/>
        <v>0</v>
      </c>
      <c r="Y51" s="75">
        <f>$AD$49*B51/$G$49</f>
        <v>0</v>
      </c>
      <c r="Z51" s="68">
        <f t="shared" si="63"/>
        <v>0</v>
      </c>
      <c r="AA51" s="68">
        <f t="shared" si="10"/>
        <v>0</v>
      </c>
      <c r="AB51" s="69">
        <f t="shared" si="22"/>
        <v>0</v>
      </c>
      <c r="AD51" s="75">
        <f>$AD$49*G51/$G$49</f>
        <v>0</v>
      </c>
    </row>
    <row r="52" spans="1:34" ht="15" customHeight="1" outlineLevel="2" x14ac:dyDescent="0.25">
      <c r="B52" s="71">
        <v>2150</v>
      </c>
      <c r="C52" s="72" t="s">
        <v>38</v>
      </c>
      <c r="E52" s="73">
        <v>3.63</v>
      </c>
      <c r="F52" s="74">
        <f t="shared" si="28"/>
        <v>5.0027980180319034</v>
      </c>
      <c r="G52" s="75">
        <v>0.5</v>
      </c>
      <c r="H52" s="56" t="s">
        <v>43</v>
      </c>
      <c r="I52" s="73">
        <f t="shared" si="11"/>
        <v>10.005596036063807</v>
      </c>
      <c r="K52" s="68">
        <f t="shared" si="26"/>
        <v>0</v>
      </c>
      <c r="L52" s="62">
        <f t="shared" si="12"/>
        <v>0</v>
      </c>
      <c r="M52" s="69">
        <f t="shared" si="13"/>
        <v>0</v>
      </c>
      <c r="P52" s="68">
        <f t="shared" si="27"/>
        <v>0</v>
      </c>
      <c r="Q52" s="62">
        <f t="shared" si="15"/>
        <v>0</v>
      </c>
      <c r="R52" s="69">
        <f t="shared" si="16"/>
        <v>0</v>
      </c>
      <c r="U52" s="68">
        <f t="shared" si="62"/>
        <v>0</v>
      </c>
      <c r="V52" s="62">
        <f t="shared" si="9"/>
        <v>0</v>
      </c>
      <c r="W52" s="69">
        <f t="shared" si="19"/>
        <v>0</v>
      </c>
      <c r="Y52" s="75">
        <f>$AD$49*B52/$G$49</f>
        <v>0</v>
      </c>
      <c r="Z52" s="68">
        <f t="shared" si="63"/>
        <v>0</v>
      </c>
      <c r="AA52" s="68">
        <f t="shared" si="10"/>
        <v>0</v>
      </c>
      <c r="AB52" s="69">
        <f t="shared" si="22"/>
        <v>0</v>
      </c>
      <c r="AD52" s="75">
        <f>$AD$49*G52/$G$49</f>
        <v>0</v>
      </c>
    </row>
    <row r="53" spans="1:34" ht="15" customHeight="1" outlineLevel="1" x14ac:dyDescent="0.25">
      <c r="A53" s="67"/>
      <c r="B53" s="66"/>
      <c r="C53" s="67" t="s">
        <v>140</v>
      </c>
      <c r="D53" s="68"/>
      <c r="E53" s="68">
        <v>1253</v>
      </c>
      <c r="F53" s="68">
        <f t="shared" si="28"/>
        <v>1726.8611340479272</v>
      </c>
      <c r="G53" s="69">
        <v>1</v>
      </c>
      <c r="H53" s="67" t="s">
        <v>39</v>
      </c>
      <c r="I53" s="68">
        <f t="shared" si="11"/>
        <v>1726.8611340479272</v>
      </c>
      <c r="J53" s="69"/>
      <c r="K53" s="68">
        <f t="shared" si="26"/>
        <v>0</v>
      </c>
      <c r="L53" s="62">
        <f t="shared" si="12"/>
        <v>1726.8611340479272</v>
      </c>
      <c r="M53" s="69">
        <f t="shared" si="13"/>
        <v>1</v>
      </c>
      <c r="N53" s="70">
        <f t="shared" ref="N53" si="79">100%-(L53/$F53)</f>
        <v>0</v>
      </c>
      <c r="O53" s="69"/>
      <c r="P53" s="68">
        <f t="shared" si="27"/>
        <v>0</v>
      </c>
      <c r="Q53" s="62">
        <f t="shared" si="15"/>
        <v>1726.8611340479272</v>
      </c>
      <c r="R53" s="69">
        <f t="shared" si="16"/>
        <v>1</v>
      </c>
      <c r="S53" s="70">
        <f t="shared" ref="S53" si="80">100%-(Q53/$F53)</f>
        <v>0</v>
      </c>
      <c r="T53" s="69"/>
      <c r="U53" s="68">
        <f t="shared" si="62"/>
        <v>0</v>
      </c>
      <c r="V53" s="62">
        <f t="shared" si="9"/>
        <v>1726.8611340479272</v>
      </c>
      <c r="W53" s="69">
        <f t="shared" si="19"/>
        <v>1</v>
      </c>
      <c r="X53" s="70">
        <f t="shared" ref="X53" si="81">100%-(V53/$F53)</f>
        <v>0</v>
      </c>
      <c r="Y53" s="69"/>
      <c r="Z53" s="68">
        <f t="shared" si="63"/>
        <v>0</v>
      </c>
      <c r="AA53" s="68">
        <f t="shared" si="10"/>
        <v>1726.8611340479272</v>
      </c>
      <c r="AB53" s="69">
        <f t="shared" si="22"/>
        <v>1</v>
      </c>
      <c r="AC53" s="70">
        <f t="shared" ref="AC53" si="82">100%-(AA53/$F53)</f>
        <v>0</v>
      </c>
      <c r="AD53" s="69"/>
      <c r="AE53" s="68">
        <f>AD53*I53</f>
        <v>0</v>
      </c>
      <c r="AF53" s="68">
        <f>F53-AE53</f>
        <v>1726.8611340479272</v>
      </c>
      <c r="AG53" s="69">
        <f>G53-AD53</f>
        <v>1</v>
      </c>
      <c r="AH53" s="70">
        <f t="shared" ref="AH53" si="83">100%-(AF53/$F53)</f>
        <v>0</v>
      </c>
    </row>
    <row r="54" spans="1:34" ht="15" customHeight="1" outlineLevel="2" x14ac:dyDescent="0.25">
      <c r="B54" s="71">
        <v>2456</v>
      </c>
      <c r="C54" s="72" t="s">
        <v>141</v>
      </c>
      <c r="E54" s="73">
        <v>808.75</v>
      </c>
      <c r="F54" s="74">
        <f t="shared" si="28"/>
        <v>1114.6041038796975</v>
      </c>
      <c r="G54" s="75">
        <v>1</v>
      </c>
      <c r="H54" s="56" t="s">
        <v>39</v>
      </c>
      <c r="I54" s="73">
        <f t="shared" si="11"/>
        <v>1114.6041038796975</v>
      </c>
      <c r="K54" s="68">
        <f t="shared" si="26"/>
        <v>0</v>
      </c>
      <c r="L54" s="62">
        <f t="shared" si="12"/>
        <v>0</v>
      </c>
      <c r="M54" s="69">
        <f t="shared" si="13"/>
        <v>0</v>
      </c>
      <c r="P54" s="68">
        <f t="shared" si="27"/>
        <v>0</v>
      </c>
      <c r="Q54" s="62">
        <f t="shared" si="15"/>
        <v>0</v>
      </c>
      <c r="R54" s="69">
        <f t="shared" si="16"/>
        <v>0</v>
      </c>
      <c r="U54" s="68">
        <f t="shared" si="62"/>
        <v>0</v>
      </c>
      <c r="V54" s="62">
        <f t="shared" si="9"/>
        <v>0</v>
      </c>
      <c r="W54" s="69">
        <f t="shared" si="19"/>
        <v>0</v>
      </c>
      <c r="Y54" s="75">
        <f t="shared" ref="Y54:Y60" si="84">$AD$53*B54/$G$53</f>
        <v>0</v>
      </c>
      <c r="Z54" s="68">
        <f t="shared" si="63"/>
        <v>0</v>
      </c>
      <c r="AA54" s="68">
        <f t="shared" si="10"/>
        <v>0</v>
      </c>
      <c r="AB54" s="69">
        <f t="shared" si="22"/>
        <v>0</v>
      </c>
      <c r="AD54" s="75">
        <f t="shared" ref="AD54:AD60" si="85">$AD$53*G54/$G$53</f>
        <v>0</v>
      </c>
    </row>
    <row r="55" spans="1:34" ht="15" customHeight="1" outlineLevel="2" x14ac:dyDescent="0.25">
      <c r="B55" s="71">
        <v>2490</v>
      </c>
      <c r="C55" s="72" t="s">
        <v>37</v>
      </c>
      <c r="E55" s="73">
        <v>32.950000000000003</v>
      </c>
      <c r="F55" s="74">
        <f t="shared" si="28"/>
        <v>45.411072918498967</v>
      </c>
      <c r="G55" s="75">
        <v>5</v>
      </c>
      <c r="H55" s="56" t="s">
        <v>43</v>
      </c>
      <c r="I55" s="73">
        <f t="shared" si="11"/>
        <v>9.082214583699793</v>
      </c>
      <c r="K55" s="68">
        <f t="shared" si="26"/>
        <v>0</v>
      </c>
      <c r="L55" s="62">
        <f t="shared" si="12"/>
        <v>0</v>
      </c>
      <c r="M55" s="69">
        <f t="shared" si="13"/>
        <v>0</v>
      </c>
      <c r="P55" s="68">
        <f t="shared" si="27"/>
        <v>0</v>
      </c>
      <c r="Q55" s="62">
        <f t="shared" si="15"/>
        <v>0</v>
      </c>
      <c r="R55" s="69">
        <f t="shared" si="16"/>
        <v>0</v>
      </c>
      <c r="U55" s="68">
        <f t="shared" si="62"/>
        <v>0</v>
      </c>
      <c r="V55" s="62">
        <f t="shared" si="9"/>
        <v>0</v>
      </c>
      <c r="W55" s="69">
        <f t="shared" si="19"/>
        <v>0</v>
      </c>
      <c r="Y55" s="75">
        <f t="shared" si="84"/>
        <v>0</v>
      </c>
      <c r="Z55" s="68">
        <f t="shared" si="63"/>
        <v>0</v>
      </c>
      <c r="AA55" s="68">
        <f t="shared" si="10"/>
        <v>0</v>
      </c>
      <c r="AB55" s="69">
        <f t="shared" si="22"/>
        <v>0</v>
      </c>
      <c r="AD55" s="75">
        <f t="shared" si="85"/>
        <v>0</v>
      </c>
    </row>
    <row r="56" spans="1:34" ht="15" customHeight="1" outlineLevel="2" x14ac:dyDescent="0.25">
      <c r="B56" s="71">
        <v>2150</v>
      </c>
      <c r="C56" s="72" t="s">
        <v>38</v>
      </c>
      <c r="E56" s="73">
        <v>75.83</v>
      </c>
      <c r="F56" s="74">
        <f t="shared" si="28"/>
        <v>104.50748586979594</v>
      </c>
      <c r="G56" s="75">
        <v>5</v>
      </c>
      <c r="H56" s="56" t="s">
        <v>43</v>
      </c>
      <c r="I56" s="73">
        <f t="shared" si="11"/>
        <v>20.901497173959189</v>
      </c>
      <c r="K56" s="68">
        <f t="shared" si="26"/>
        <v>0</v>
      </c>
      <c r="L56" s="62">
        <f t="shared" si="12"/>
        <v>0</v>
      </c>
      <c r="M56" s="69">
        <f t="shared" si="13"/>
        <v>0</v>
      </c>
      <c r="P56" s="68">
        <f t="shared" si="27"/>
        <v>0</v>
      </c>
      <c r="Q56" s="62">
        <f t="shared" si="15"/>
        <v>0</v>
      </c>
      <c r="R56" s="69">
        <f t="shared" si="16"/>
        <v>0</v>
      </c>
      <c r="U56" s="68">
        <f t="shared" si="62"/>
        <v>0</v>
      </c>
      <c r="V56" s="62">
        <f t="shared" si="9"/>
        <v>0</v>
      </c>
      <c r="W56" s="69">
        <f t="shared" si="19"/>
        <v>0</v>
      </c>
      <c r="Y56" s="75">
        <f t="shared" si="84"/>
        <v>0</v>
      </c>
      <c r="Z56" s="68">
        <f t="shared" si="63"/>
        <v>0</v>
      </c>
      <c r="AA56" s="68">
        <f t="shared" si="10"/>
        <v>0</v>
      </c>
      <c r="AB56" s="69">
        <f t="shared" si="22"/>
        <v>0</v>
      </c>
      <c r="AD56" s="75">
        <f t="shared" si="85"/>
        <v>0</v>
      </c>
    </row>
    <row r="57" spans="1:34" ht="15" customHeight="1" outlineLevel="2" x14ac:dyDescent="0.25">
      <c r="B57" s="71">
        <v>2172</v>
      </c>
      <c r="C57" s="72" t="s">
        <v>133</v>
      </c>
      <c r="E57" s="73">
        <v>101.98</v>
      </c>
      <c r="F57" s="74">
        <f t="shared" si="28"/>
        <v>140.54692613743623</v>
      </c>
      <c r="G57" s="75">
        <v>11.7</v>
      </c>
      <c r="H57" s="56" t="s">
        <v>43</v>
      </c>
      <c r="I57" s="73">
        <f t="shared" si="11"/>
        <v>12.012557789524465</v>
      </c>
      <c r="K57" s="68">
        <f t="shared" si="26"/>
        <v>0</v>
      </c>
      <c r="L57" s="62">
        <f t="shared" si="12"/>
        <v>0</v>
      </c>
      <c r="M57" s="69">
        <f t="shared" si="13"/>
        <v>0</v>
      </c>
      <c r="P57" s="68">
        <f t="shared" si="27"/>
        <v>0</v>
      </c>
      <c r="Q57" s="62">
        <f t="shared" si="15"/>
        <v>0</v>
      </c>
      <c r="R57" s="69">
        <f t="shared" si="16"/>
        <v>0</v>
      </c>
      <c r="U57" s="68">
        <f t="shared" si="62"/>
        <v>0</v>
      </c>
      <c r="V57" s="62">
        <f t="shared" si="9"/>
        <v>0</v>
      </c>
      <c r="W57" s="69">
        <f t="shared" si="19"/>
        <v>0</v>
      </c>
      <c r="Y57" s="75">
        <f t="shared" si="84"/>
        <v>0</v>
      </c>
      <c r="Z57" s="68">
        <f t="shared" si="63"/>
        <v>0</v>
      </c>
      <c r="AA57" s="68">
        <f t="shared" si="10"/>
        <v>0</v>
      </c>
      <c r="AB57" s="69">
        <f t="shared" si="22"/>
        <v>0</v>
      </c>
      <c r="AD57" s="75">
        <f t="shared" si="85"/>
        <v>0</v>
      </c>
    </row>
    <row r="58" spans="1:34" ht="15" customHeight="1" outlineLevel="2" x14ac:dyDescent="0.25">
      <c r="B58" s="71">
        <v>2149</v>
      </c>
      <c r="C58" s="72" t="s">
        <v>48</v>
      </c>
      <c r="E58" s="73">
        <v>99.2</v>
      </c>
      <c r="F58" s="74">
        <f t="shared" si="28"/>
        <v>136.71558220076167</v>
      </c>
      <c r="G58" s="75">
        <v>11.7</v>
      </c>
      <c r="H58" s="56" t="s">
        <v>43</v>
      </c>
      <c r="I58" s="73">
        <f t="shared" si="11"/>
        <v>11.685092495791597</v>
      </c>
      <c r="K58" s="68">
        <f t="shared" si="26"/>
        <v>0</v>
      </c>
      <c r="L58" s="62">
        <f t="shared" si="12"/>
        <v>0</v>
      </c>
      <c r="M58" s="69">
        <f t="shared" si="13"/>
        <v>0</v>
      </c>
      <c r="P58" s="68">
        <f t="shared" si="27"/>
        <v>0</v>
      </c>
      <c r="Q58" s="62">
        <f t="shared" si="15"/>
        <v>0</v>
      </c>
      <c r="R58" s="69">
        <f t="shared" si="16"/>
        <v>0</v>
      </c>
      <c r="U58" s="68">
        <f t="shared" si="62"/>
        <v>0</v>
      </c>
      <c r="V58" s="62">
        <f t="shared" si="9"/>
        <v>0</v>
      </c>
      <c r="W58" s="69">
        <f t="shared" si="19"/>
        <v>0</v>
      </c>
      <c r="Y58" s="75">
        <f t="shared" si="84"/>
        <v>0</v>
      </c>
      <c r="Z58" s="68">
        <f t="shared" si="63"/>
        <v>0</v>
      </c>
      <c r="AA58" s="68">
        <f t="shared" si="10"/>
        <v>0</v>
      </c>
      <c r="AB58" s="69">
        <f t="shared" si="22"/>
        <v>0</v>
      </c>
      <c r="AD58" s="75">
        <f t="shared" si="85"/>
        <v>0</v>
      </c>
    </row>
    <row r="59" spans="1:34" ht="15" customHeight="1" outlineLevel="2" x14ac:dyDescent="0.25">
      <c r="B59" s="71">
        <v>2150</v>
      </c>
      <c r="C59" s="72" t="s">
        <v>38</v>
      </c>
      <c r="E59" s="73">
        <v>99.2</v>
      </c>
      <c r="F59" s="74">
        <f t="shared" si="28"/>
        <v>136.71558220076167</v>
      </c>
      <c r="G59" s="75">
        <v>11.7</v>
      </c>
      <c r="H59" s="56" t="s">
        <v>43</v>
      </c>
      <c r="I59" s="73">
        <f t="shared" si="11"/>
        <v>11.685092495791597</v>
      </c>
      <c r="K59" s="68">
        <f t="shared" si="26"/>
        <v>0</v>
      </c>
      <c r="L59" s="62">
        <f t="shared" si="12"/>
        <v>0</v>
      </c>
      <c r="M59" s="69">
        <f t="shared" si="13"/>
        <v>0</v>
      </c>
      <c r="P59" s="68">
        <f t="shared" si="27"/>
        <v>0</v>
      </c>
      <c r="Q59" s="62">
        <f t="shared" si="15"/>
        <v>0</v>
      </c>
      <c r="R59" s="69">
        <f t="shared" si="16"/>
        <v>0</v>
      </c>
      <c r="U59" s="68">
        <f t="shared" si="62"/>
        <v>0</v>
      </c>
      <c r="V59" s="62">
        <f t="shared" si="9"/>
        <v>0</v>
      </c>
      <c r="W59" s="69">
        <f t="shared" si="19"/>
        <v>0</v>
      </c>
      <c r="Y59" s="75">
        <f t="shared" si="84"/>
        <v>0</v>
      </c>
      <c r="Z59" s="68">
        <f t="shared" si="63"/>
        <v>0</v>
      </c>
      <c r="AA59" s="68">
        <f t="shared" si="10"/>
        <v>0</v>
      </c>
      <c r="AB59" s="69">
        <f t="shared" si="22"/>
        <v>0</v>
      </c>
      <c r="AD59" s="75">
        <f t="shared" si="85"/>
        <v>0</v>
      </c>
    </row>
    <row r="60" spans="1:34" ht="15" customHeight="1" outlineLevel="2" x14ac:dyDescent="0.25">
      <c r="B60" s="71">
        <v>2490</v>
      </c>
      <c r="C60" s="72" t="s">
        <v>37</v>
      </c>
      <c r="E60" s="73">
        <v>35.1</v>
      </c>
      <c r="F60" s="74">
        <f t="shared" si="28"/>
        <v>48.374162653696921</v>
      </c>
      <c r="G60" s="75">
        <v>11.7</v>
      </c>
      <c r="H60" s="56" t="s">
        <v>43</v>
      </c>
      <c r="I60" s="73">
        <f t="shared" si="11"/>
        <v>4.1345438165552926</v>
      </c>
      <c r="K60" s="68">
        <f t="shared" si="26"/>
        <v>0</v>
      </c>
      <c r="L60" s="62">
        <f t="shared" si="12"/>
        <v>0</v>
      </c>
      <c r="M60" s="69">
        <f t="shared" si="13"/>
        <v>0</v>
      </c>
      <c r="P60" s="68">
        <f t="shared" si="27"/>
        <v>0</v>
      </c>
      <c r="Q60" s="62">
        <f t="shared" si="15"/>
        <v>0</v>
      </c>
      <c r="R60" s="69">
        <f t="shared" si="16"/>
        <v>0</v>
      </c>
      <c r="U60" s="68">
        <f t="shared" si="62"/>
        <v>0</v>
      </c>
      <c r="V60" s="62">
        <f t="shared" si="9"/>
        <v>0</v>
      </c>
      <c r="W60" s="69">
        <f t="shared" si="19"/>
        <v>0</v>
      </c>
      <c r="Y60" s="75">
        <f t="shared" si="84"/>
        <v>0</v>
      </c>
      <c r="Z60" s="68">
        <f t="shared" si="63"/>
        <v>0</v>
      </c>
      <c r="AA60" s="68">
        <f t="shared" si="10"/>
        <v>0</v>
      </c>
      <c r="AB60" s="69">
        <f t="shared" si="22"/>
        <v>0</v>
      </c>
      <c r="AD60" s="75">
        <f t="shared" si="85"/>
        <v>0</v>
      </c>
    </row>
    <row r="61" spans="1:34" ht="15" customHeight="1" outlineLevel="1" x14ac:dyDescent="0.25">
      <c r="A61" s="67"/>
      <c r="B61" s="66"/>
      <c r="C61" s="67" t="s">
        <v>142</v>
      </c>
      <c r="D61" s="68"/>
      <c r="E61" s="68">
        <v>2601.67</v>
      </c>
      <c r="F61" s="68">
        <f t="shared" si="28"/>
        <v>3585.5728704058024</v>
      </c>
      <c r="G61" s="69">
        <v>7</v>
      </c>
      <c r="H61" s="67" t="s">
        <v>39</v>
      </c>
      <c r="I61" s="68">
        <f t="shared" si="11"/>
        <v>512.22469577225752</v>
      </c>
      <c r="J61" s="69">
        <v>0</v>
      </c>
      <c r="K61" s="68">
        <f t="shared" si="26"/>
        <v>0</v>
      </c>
      <c r="L61" s="62">
        <f t="shared" si="12"/>
        <v>3585.5728704058024</v>
      </c>
      <c r="M61" s="69">
        <f t="shared" si="13"/>
        <v>7</v>
      </c>
      <c r="N61" s="70">
        <f t="shared" ref="N61" si="86">100%-(L61/$F61)</f>
        <v>0</v>
      </c>
      <c r="O61" s="69">
        <v>0</v>
      </c>
      <c r="P61" s="68">
        <f t="shared" si="27"/>
        <v>0</v>
      </c>
      <c r="Q61" s="62">
        <f t="shared" si="15"/>
        <v>3585.5728704058024</v>
      </c>
      <c r="R61" s="69">
        <f t="shared" si="16"/>
        <v>7</v>
      </c>
      <c r="S61" s="70">
        <f t="shared" ref="S61" si="87">100%-(Q61/$F61)</f>
        <v>0</v>
      </c>
      <c r="T61" s="69">
        <v>0</v>
      </c>
      <c r="U61" s="68">
        <f t="shared" si="62"/>
        <v>0</v>
      </c>
      <c r="V61" s="62">
        <f t="shared" si="9"/>
        <v>3585.5728704058024</v>
      </c>
      <c r="W61" s="69">
        <f t="shared" si="19"/>
        <v>7</v>
      </c>
      <c r="X61" s="70">
        <f t="shared" ref="X61" si="88">100%-(V61/$F61)</f>
        <v>0</v>
      </c>
      <c r="Y61" s="69">
        <v>0</v>
      </c>
      <c r="Z61" s="68">
        <f t="shared" si="63"/>
        <v>0</v>
      </c>
      <c r="AA61" s="68">
        <f t="shared" si="10"/>
        <v>3585.5728704058024</v>
      </c>
      <c r="AB61" s="69">
        <f t="shared" si="22"/>
        <v>7</v>
      </c>
      <c r="AC61" s="70">
        <f t="shared" ref="AC61" si="89">100%-(AA61/$F61)</f>
        <v>0</v>
      </c>
      <c r="AD61" s="69">
        <v>0</v>
      </c>
      <c r="AE61" s="68">
        <f>AD61*I61</f>
        <v>0</v>
      </c>
      <c r="AF61" s="68">
        <f>F61-AE61</f>
        <v>3585.5728704058024</v>
      </c>
      <c r="AG61" s="69">
        <f>G61-AD61</f>
        <v>7</v>
      </c>
      <c r="AH61" s="70">
        <f t="shared" ref="AH61" si="90">100%-(AF61/$F61)</f>
        <v>0</v>
      </c>
    </row>
    <row r="62" spans="1:34" ht="15" customHeight="1" outlineLevel="2" x14ac:dyDescent="0.25">
      <c r="B62" s="71">
        <v>2456</v>
      </c>
      <c r="C62" s="72" t="s">
        <v>141</v>
      </c>
      <c r="E62" s="73">
        <v>2255.64</v>
      </c>
      <c r="F62" s="74">
        <f t="shared" si="28"/>
        <v>3108.6808047915929</v>
      </c>
      <c r="G62" s="75">
        <v>7</v>
      </c>
      <c r="H62" s="56" t="s">
        <v>39</v>
      </c>
      <c r="I62" s="73">
        <f t="shared" si="11"/>
        <v>444.09725782737041</v>
      </c>
      <c r="K62" s="68">
        <f t="shared" si="26"/>
        <v>0</v>
      </c>
      <c r="L62" s="62">
        <f t="shared" si="12"/>
        <v>0</v>
      </c>
      <c r="M62" s="69">
        <f t="shared" si="13"/>
        <v>0</v>
      </c>
      <c r="P62" s="68">
        <f t="shared" si="27"/>
        <v>0</v>
      </c>
      <c r="Q62" s="62">
        <f t="shared" si="15"/>
        <v>0</v>
      </c>
      <c r="R62" s="69">
        <f t="shared" si="16"/>
        <v>0</v>
      </c>
      <c r="U62" s="68">
        <f t="shared" si="62"/>
        <v>0</v>
      </c>
      <c r="V62" s="62">
        <f t="shared" si="9"/>
        <v>0</v>
      </c>
      <c r="W62" s="69">
        <f t="shared" si="19"/>
        <v>0</v>
      </c>
      <c r="Y62" s="75">
        <f>$AD$61*B62/$G$61</f>
        <v>0</v>
      </c>
      <c r="Z62" s="68">
        <f t="shared" si="63"/>
        <v>0</v>
      </c>
      <c r="AA62" s="68">
        <f t="shared" si="10"/>
        <v>0</v>
      </c>
      <c r="AB62" s="69">
        <f t="shared" si="22"/>
        <v>0</v>
      </c>
      <c r="AD62" s="75">
        <f>$AD$61*G62/$G$61</f>
        <v>0</v>
      </c>
    </row>
    <row r="63" spans="1:34" ht="15" customHeight="1" outlineLevel="2" x14ac:dyDescent="0.25">
      <c r="B63" s="71">
        <v>2490</v>
      </c>
      <c r="C63" s="72" t="s">
        <v>37</v>
      </c>
      <c r="E63" s="73">
        <v>133.69999999999999</v>
      </c>
      <c r="F63" s="74">
        <f t="shared" si="28"/>
        <v>184.26283609114751</v>
      </c>
      <c r="G63" s="75">
        <v>7</v>
      </c>
      <c r="H63" s="56" t="s">
        <v>43</v>
      </c>
      <c r="I63" s="73">
        <f t="shared" si="11"/>
        <v>26.323262298735358</v>
      </c>
      <c r="K63" s="68">
        <f t="shared" si="26"/>
        <v>0</v>
      </c>
      <c r="L63" s="62">
        <f t="shared" si="12"/>
        <v>0</v>
      </c>
      <c r="M63" s="69">
        <f t="shared" si="13"/>
        <v>0</v>
      </c>
      <c r="P63" s="68">
        <f t="shared" si="27"/>
        <v>0</v>
      </c>
      <c r="Q63" s="62">
        <f t="shared" si="15"/>
        <v>0</v>
      </c>
      <c r="R63" s="69">
        <f t="shared" si="16"/>
        <v>0</v>
      </c>
      <c r="U63" s="68">
        <f t="shared" si="62"/>
        <v>0</v>
      </c>
      <c r="V63" s="62">
        <f t="shared" si="9"/>
        <v>0</v>
      </c>
      <c r="W63" s="69">
        <f t="shared" si="19"/>
        <v>0</v>
      </c>
      <c r="Y63" s="75">
        <f>$AD$61*B63/$G$61</f>
        <v>0</v>
      </c>
      <c r="Z63" s="68">
        <f t="shared" si="63"/>
        <v>0</v>
      </c>
      <c r="AA63" s="68">
        <f t="shared" si="10"/>
        <v>0</v>
      </c>
      <c r="AB63" s="69">
        <f t="shared" si="22"/>
        <v>0</v>
      </c>
      <c r="AD63" s="75">
        <f>$AD$61*G63/$G$61</f>
        <v>0</v>
      </c>
    </row>
    <row r="64" spans="1:34" ht="15" customHeight="1" outlineLevel="2" x14ac:dyDescent="0.25">
      <c r="B64" s="71">
        <v>2150</v>
      </c>
      <c r="C64" s="72" t="s">
        <v>38</v>
      </c>
      <c r="E64" s="73">
        <v>212.33</v>
      </c>
      <c r="F64" s="74">
        <f t="shared" si="28"/>
        <v>292.62922952306178</v>
      </c>
      <c r="G64" s="75">
        <v>7</v>
      </c>
      <c r="H64" s="56" t="s">
        <v>43</v>
      </c>
      <c r="I64" s="73">
        <f t="shared" si="11"/>
        <v>41.804175646151684</v>
      </c>
      <c r="K64" s="68">
        <f t="shared" si="26"/>
        <v>0</v>
      </c>
      <c r="L64" s="62">
        <f t="shared" si="12"/>
        <v>0</v>
      </c>
      <c r="M64" s="69">
        <f t="shared" si="13"/>
        <v>0</v>
      </c>
      <c r="P64" s="68">
        <f t="shared" si="27"/>
        <v>0</v>
      </c>
      <c r="Q64" s="62">
        <f t="shared" si="15"/>
        <v>0</v>
      </c>
      <c r="R64" s="69">
        <f t="shared" si="16"/>
        <v>0</v>
      </c>
      <c r="U64" s="68">
        <f t="shared" si="62"/>
        <v>0</v>
      </c>
      <c r="V64" s="62">
        <f t="shared" si="9"/>
        <v>0</v>
      </c>
      <c r="W64" s="69">
        <f t="shared" si="19"/>
        <v>0</v>
      </c>
      <c r="Y64" s="75">
        <f>$AD$61*B64/$G$61</f>
        <v>0</v>
      </c>
      <c r="Z64" s="68">
        <f t="shared" si="63"/>
        <v>0</v>
      </c>
      <c r="AA64" s="68">
        <f t="shared" si="10"/>
        <v>0</v>
      </c>
      <c r="AB64" s="69">
        <f t="shared" si="22"/>
        <v>0</v>
      </c>
      <c r="AD64" s="75">
        <f>$AD$61*G64/$G$61</f>
        <v>0</v>
      </c>
    </row>
    <row r="65" spans="1:34" ht="15" customHeight="1" outlineLevel="1" x14ac:dyDescent="0.25">
      <c r="A65" s="67"/>
      <c r="B65" s="66"/>
      <c r="C65" s="67" t="s">
        <v>143</v>
      </c>
      <c r="D65" s="68"/>
      <c r="E65" s="68">
        <v>5217.8</v>
      </c>
      <c r="F65" s="68">
        <f t="shared" si="28"/>
        <v>7191.0742420074021</v>
      </c>
      <c r="G65" s="69">
        <v>5</v>
      </c>
      <c r="H65" s="67" t="s">
        <v>39</v>
      </c>
      <c r="I65" s="68">
        <f t="shared" si="11"/>
        <v>1438.2148484014804</v>
      </c>
      <c r="J65" s="69"/>
      <c r="K65" s="68">
        <f t="shared" si="26"/>
        <v>0</v>
      </c>
      <c r="L65" s="62">
        <f t="shared" si="12"/>
        <v>7191.0742420074021</v>
      </c>
      <c r="M65" s="69">
        <f t="shared" si="13"/>
        <v>5</v>
      </c>
      <c r="N65" s="70">
        <f t="shared" ref="N65" si="91">100%-(L65/$F65)</f>
        <v>0</v>
      </c>
      <c r="O65" s="69"/>
      <c r="P65" s="68">
        <f t="shared" si="27"/>
        <v>0</v>
      </c>
      <c r="Q65" s="62">
        <f t="shared" si="15"/>
        <v>7191.0742420074021</v>
      </c>
      <c r="R65" s="69">
        <f t="shared" si="16"/>
        <v>5</v>
      </c>
      <c r="S65" s="70">
        <f t="shared" ref="S65" si="92">100%-(Q65/$F65)</f>
        <v>0</v>
      </c>
      <c r="T65" s="69"/>
      <c r="U65" s="68">
        <f t="shared" si="62"/>
        <v>0</v>
      </c>
      <c r="V65" s="62">
        <f t="shared" si="9"/>
        <v>7191.0742420074021</v>
      </c>
      <c r="W65" s="69">
        <f t="shared" si="19"/>
        <v>5</v>
      </c>
      <c r="X65" s="70">
        <f t="shared" ref="X65" si="93">100%-(V65/$F65)</f>
        <v>0</v>
      </c>
      <c r="Y65" s="69"/>
      <c r="Z65" s="68">
        <f t="shared" si="63"/>
        <v>0</v>
      </c>
      <c r="AA65" s="68">
        <f t="shared" si="10"/>
        <v>7191.0742420074021</v>
      </c>
      <c r="AB65" s="69">
        <f t="shared" si="22"/>
        <v>5</v>
      </c>
      <c r="AC65" s="70">
        <f t="shared" ref="AC65" si="94">100%-(AA65/$F65)</f>
        <v>0</v>
      </c>
      <c r="AD65" s="69"/>
      <c r="AE65" s="68">
        <f>AD65*I65</f>
        <v>0</v>
      </c>
      <c r="AF65" s="68">
        <f>F65-AE65</f>
        <v>7191.0742420074021</v>
      </c>
      <c r="AG65" s="69">
        <f>G65-AD65</f>
        <v>5</v>
      </c>
      <c r="AH65" s="70">
        <f t="shared" ref="AH65" si="95">100%-(AF65/$F65)</f>
        <v>0</v>
      </c>
    </row>
    <row r="66" spans="1:34" ht="15" customHeight="1" outlineLevel="2" x14ac:dyDescent="0.25">
      <c r="B66" s="71">
        <v>2455</v>
      </c>
      <c r="C66" s="72" t="s">
        <v>144</v>
      </c>
      <c r="E66" s="73">
        <v>4043.76</v>
      </c>
      <c r="F66" s="74">
        <f t="shared" si="28"/>
        <v>5573.0343012112098</v>
      </c>
      <c r="G66" s="75">
        <v>5</v>
      </c>
      <c r="H66" s="56" t="s">
        <v>39</v>
      </c>
      <c r="I66" s="73">
        <f t="shared" si="11"/>
        <v>1114.606860242242</v>
      </c>
      <c r="K66" s="68">
        <f t="shared" si="26"/>
        <v>0</v>
      </c>
      <c r="L66" s="62">
        <f t="shared" si="12"/>
        <v>0</v>
      </c>
      <c r="M66" s="69">
        <f t="shared" si="13"/>
        <v>0</v>
      </c>
      <c r="P66" s="68">
        <f t="shared" si="27"/>
        <v>0</v>
      </c>
      <c r="Q66" s="62">
        <f t="shared" si="15"/>
        <v>0</v>
      </c>
      <c r="R66" s="69">
        <f t="shared" si="16"/>
        <v>0</v>
      </c>
      <c r="U66" s="68">
        <f t="shared" si="62"/>
        <v>0</v>
      </c>
      <c r="V66" s="62">
        <f t="shared" si="9"/>
        <v>0</v>
      </c>
      <c r="W66" s="69">
        <f t="shared" si="19"/>
        <v>0</v>
      </c>
      <c r="Y66" s="75">
        <f>$AD$65*B66/$G$65</f>
        <v>0</v>
      </c>
      <c r="Z66" s="68">
        <f t="shared" si="63"/>
        <v>0</v>
      </c>
      <c r="AA66" s="68">
        <f t="shared" si="10"/>
        <v>0</v>
      </c>
      <c r="AB66" s="69">
        <f t="shared" si="22"/>
        <v>0</v>
      </c>
      <c r="AD66" s="75">
        <f>$AD$65*G66/$G$65</f>
        <v>0</v>
      </c>
    </row>
    <row r="67" spans="1:34" ht="15" customHeight="1" outlineLevel="2" x14ac:dyDescent="0.25">
      <c r="B67" s="71">
        <v>2490</v>
      </c>
      <c r="C67" s="72" t="s">
        <v>37</v>
      </c>
      <c r="E67" s="73">
        <v>453.63</v>
      </c>
      <c r="F67" s="74">
        <f t="shared" si="28"/>
        <v>625.1843705013257</v>
      </c>
      <c r="G67" s="75">
        <v>47.5</v>
      </c>
      <c r="H67" s="56" t="s">
        <v>43</v>
      </c>
      <c r="I67" s="73">
        <f t="shared" si="11"/>
        <v>13.16177622108054</v>
      </c>
      <c r="K67" s="68">
        <f t="shared" si="26"/>
        <v>0</v>
      </c>
      <c r="L67" s="62">
        <f t="shared" si="12"/>
        <v>0</v>
      </c>
      <c r="M67" s="69">
        <f t="shared" si="13"/>
        <v>0</v>
      </c>
      <c r="P67" s="68">
        <f t="shared" si="27"/>
        <v>0</v>
      </c>
      <c r="Q67" s="62">
        <f t="shared" si="15"/>
        <v>0</v>
      </c>
      <c r="R67" s="69">
        <f t="shared" si="16"/>
        <v>0</v>
      </c>
      <c r="U67" s="68">
        <f t="shared" si="62"/>
        <v>0</v>
      </c>
      <c r="V67" s="62">
        <f t="shared" si="9"/>
        <v>0</v>
      </c>
      <c r="W67" s="69">
        <f t="shared" si="19"/>
        <v>0</v>
      </c>
      <c r="Y67" s="75">
        <f>$AD$65*B67/$G$65</f>
        <v>0</v>
      </c>
      <c r="Z67" s="68">
        <f t="shared" si="63"/>
        <v>0</v>
      </c>
      <c r="AA67" s="68">
        <f t="shared" si="10"/>
        <v>0</v>
      </c>
      <c r="AB67" s="69">
        <f t="shared" si="22"/>
        <v>0</v>
      </c>
      <c r="AD67" s="75">
        <f>$AD$65*G67/$G$65</f>
        <v>0</v>
      </c>
    </row>
    <row r="68" spans="1:34" ht="15" customHeight="1" outlineLevel="2" x14ac:dyDescent="0.25">
      <c r="B68" s="71">
        <v>2150</v>
      </c>
      <c r="C68" s="72" t="s">
        <v>38</v>
      </c>
      <c r="E68" s="73">
        <v>720.42</v>
      </c>
      <c r="F68" s="74">
        <f t="shared" si="28"/>
        <v>992.86935210758782</v>
      </c>
      <c r="G68" s="75">
        <v>47.5</v>
      </c>
      <c r="H68" s="56" t="s">
        <v>43</v>
      </c>
      <c r="I68" s="73">
        <f t="shared" si="11"/>
        <v>20.902512675949218</v>
      </c>
      <c r="K68" s="68">
        <f t="shared" si="26"/>
        <v>0</v>
      </c>
      <c r="L68" s="62">
        <f t="shared" si="12"/>
        <v>0</v>
      </c>
      <c r="M68" s="69">
        <f t="shared" si="13"/>
        <v>0</v>
      </c>
      <c r="P68" s="68">
        <f t="shared" si="27"/>
        <v>0</v>
      </c>
      <c r="Q68" s="62">
        <f t="shared" si="15"/>
        <v>0</v>
      </c>
      <c r="R68" s="69">
        <f t="shared" si="16"/>
        <v>0</v>
      </c>
      <c r="U68" s="68">
        <f t="shared" si="62"/>
        <v>0</v>
      </c>
      <c r="V68" s="62">
        <f t="shared" si="9"/>
        <v>0</v>
      </c>
      <c r="W68" s="69">
        <f t="shared" si="19"/>
        <v>0</v>
      </c>
      <c r="Y68" s="75">
        <f>$AD$65*B68/$G$65</f>
        <v>0</v>
      </c>
      <c r="Z68" s="68">
        <f t="shared" si="63"/>
        <v>0</v>
      </c>
      <c r="AA68" s="68">
        <f t="shared" si="10"/>
        <v>0</v>
      </c>
      <c r="AB68" s="69">
        <f t="shared" si="22"/>
        <v>0</v>
      </c>
      <c r="AD68" s="75">
        <f>$AD$65*G68/$G$65</f>
        <v>0</v>
      </c>
    </row>
    <row r="69" spans="1:34" ht="15" customHeight="1" outlineLevel="1" x14ac:dyDescent="0.25">
      <c r="A69" s="67"/>
      <c r="B69" s="66"/>
      <c r="C69" s="67" t="s">
        <v>145</v>
      </c>
      <c r="D69" s="68"/>
      <c r="E69" s="68">
        <v>1298.54</v>
      </c>
      <c r="F69" s="68">
        <f t="shared" si="28"/>
        <v>1789.6235091832364</v>
      </c>
      <c r="G69" s="69">
        <v>2</v>
      </c>
      <c r="H69" s="67" t="s">
        <v>39</v>
      </c>
      <c r="I69" s="68">
        <f t="shared" si="11"/>
        <v>894.81175459161818</v>
      </c>
      <c r="J69" s="69"/>
      <c r="K69" s="68">
        <f t="shared" si="26"/>
        <v>0</v>
      </c>
      <c r="L69" s="62">
        <f t="shared" si="12"/>
        <v>1789.6235091832364</v>
      </c>
      <c r="M69" s="69">
        <f t="shared" si="13"/>
        <v>2</v>
      </c>
      <c r="N69" s="70">
        <f t="shared" ref="N69" si="96">100%-(L69/$F69)</f>
        <v>0</v>
      </c>
      <c r="O69" s="69"/>
      <c r="P69" s="68">
        <f t="shared" si="27"/>
        <v>0</v>
      </c>
      <c r="Q69" s="62">
        <f t="shared" si="15"/>
        <v>1789.6235091832364</v>
      </c>
      <c r="R69" s="69">
        <f t="shared" si="16"/>
        <v>2</v>
      </c>
      <c r="S69" s="70">
        <f t="shared" ref="S69" si="97">100%-(Q69/$F69)</f>
        <v>0</v>
      </c>
      <c r="T69" s="69"/>
      <c r="U69" s="68">
        <f t="shared" si="62"/>
        <v>0</v>
      </c>
      <c r="V69" s="62">
        <f t="shared" ref="V69:V132" si="98">+AA69-U69</f>
        <v>1789.6235091832364</v>
      </c>
      <c r="W69" s="69">
        <f t="shared" si="19"/>
        <v>2</v>
      </c>
      <c r="X69" s="70">
        <f t="shared" ref="X69" si="99">100%-(V69/$F69)</f>
        <v>0</v>
      </c>
      <c r="Y69" s="69"/>
      <c r="Z69" s="68">
        <f t="shared" si="63"/>
        <v>0</v>
      </c>
      <c r="AA69" s="68">
        <f t="shared" ref="AA69:AA132" si="100">+AF69-Z69</f>
        <v>1789.6235091832364</v>
      </c>
      <c r="AB69" s="69">
        <f t="shared" si="22"/>
        <v>2</v>
      </c>
      <c r="AC69" s="70">
        <f t="shared" ref="AC69" si="101">100%-(AA69/$F69)</f>
        <v>0</v>
      </c>
      <c r="AD69" s="69"/>
      <c r="AE69" s="68">
        <f>AD69*I69</f>
        <v>0</v>
      </c>
      <c r="AF69" s="68">
        <f>F69-AE69</f>
        <v>1789.6235091832364</v>
      </c>
      <c r="AG69" s="69">
        <f>G69-AD69</f>
        <v>2</v>
      </c>
      <c r="AH69" s="70">
        <f t="shared" ref="AH69" si="102">100%-(AF69/$F69)</f>
        <v>0</v>
      </c>
    </row>
    <row r="70" spans="1:34" ht="15" customHeight="1" outlineLevel="2" x14ac:dyDescent="0.25">
      <c r="B70" s="71">
        <v>2400</v>
      </c>
      <c r="C70" s="72" t="s">
        <v>139</v>
      </c>
      <c r="E70" s="73">
        <v>725.45</v>
      </c>
      <c r="F70" s="74">
        <f t="shared" si="28"/>
        <v>999.80160390667902</v>
      </c>
      <c r="G70" s="75">
        <v>1</v>
      </c>
      <c r="H70" s="56" t="s">
        <v>34</v>
      </c>
      <c r="I70" s="73">
        <f t="shared" si="11"/>
        <v>999.80160390667902</v>
      </c>
      <c r="K70" s="68">
        <f t="shared" si="26"/>
        <v>0</v>
      </c>
      <c r="L70" s="62">
        <f t="shared" si="12"/>
        <v>0</v>
      </c>
      <c r="M70" s="69">
        <f t="shared" si="13"/>
        <v>0</v>
      </c>
      <c r="P70" s="68">
        <f t="shared" si="27"/>
        <v>0</v>
      </c>
      <c r="Q70" s="62">
        <f t="shared" si="15"/>
        <v>0</v>
      </c>
      <c r="R70" s="69">
        <f t="shared" si="16"/>
        <v>0</v>
      </c>
      <c r="U70" s="68">
        <f t="shared" si="62"/>
        <v>0</v>
      </c>
      <c r="V70" s="62">
        <f t="shared" si="98"/>
        <v>0</v>
      </c>
      <c r="W70" s="69">
        <f t="shared" si="19"/>
        <v>0</v>
      </c>
      <c r="Y70" s="75">
        <f t="shared" ref="Y70:Y76" si="103">$AD$69*B70/$G$69</f>
        <v>0</v>
      </c>
      <c r="Z70" s="68">
        <f t="shared" si="63"/>
        <v>0</v>
      </c>
      <c r="AA70" s="68">
        <f t="shared" si="100"/>
        <v>0</v>
      </c>
      <c r="AB70" s="69">
        <f t="shared" si="22"/>
        <v>0</v>
      </c>
      <c r="AD70" s="75">
        <f t="shared" ref="AD70:AD76" si="104">$AD$69*G70/$G$69</f>
        <v>0</v>
      </c>
    </row>
    <row r="71" spans="1:34" ht="15" customHeight="1" outlineLevel="2" x14ac:dyDescent="0.25">
      <c r="B71" s="71">
        <v>2490</v>
      </c>
      <c r="C71" s="72" t="s">
        <v>37</v>
      </c>
      <c r="E71" s="73">
        <v>200</v>
      </c>
      <c r="F71" s="74">
        <f t="shared" si="28"/>
        <v>275.63625443701949</v>
      </c>
      <c r="G71" s="75">
        <v>4</v>
      </c>
      <c r="H71" s="56" t="s">
        <v>43</v>
      </c>
      <c r="I71" s="73">
        <f t="shared" si="11"/>
        <v>68.909063609254872</v>
      </c>
      <c r="K71" s="68">
        <f t="shared" si="26"/>
        <v>0</v>
      </c>
      <c r="L71" s="62">
        <f t="shared" ref="L71:L134" si="105">+Q71-K71</f>
        <v>0</v>
      </c>
      <c r="M71" s="69">
        <f t="shared" ref="M71:M81" si="106">+R71-J71</f>
        <v>0</v>
      </c>
      <c r="P71" s="68">
        <f t="shared" si="27"/>
        <v>0</v>
      </c>
      <c r="Q71" s="62">
        <f t="shared" ref="Q71:Q134" si="107">+V71-P71</f>
        <v>0</v>
      </c>
      <c r="R71" s="69">
        <f t="shared" ref="R71:R81" si="108">+W71-O71</f>
        <v>0</v>
      </c>
      <c r="U71" s="68">
        <f t="shared" ref="U71:U81" si="109">T71*D71</f>
        <v>0</v>
      </c>
      <c r="V71" s="62">
        <f t="shared" si="98"/>
        <v>0</v>
      </c>
      <c r="W71" s="69">
        <f t="shared" ref="W71:W81" si="110">+AB71-T71</f>
        <v>0</v>
      </c>
      <c r="Y71" s="75">
        <f t="shared" si="103"/>
        <v>0</v>
      </c>
      <c r="Z71" s="68">
        <f t="shared" ref="Z71:Z81" si="111">Y71*I71</f>
        <v>0</v>
      </c>
      <c r="AA71" s="68">
        <f t="shared" si="100"/>
        <v>0</v>
      </c>
      <c r="AB71" s="69">
        <f t="shared" ref="AB71:AB81" si="112">+AG71-Y71</f>
        <v>0</v>
      </c>
      <c r="AD71" s="75">
        <f t="shared" si="104"/>
        <v>0</v>
      </c>
    </row>
    <row r="72" spans="1:34" ht="15" customHeight="1" outlineLevel="2" x14ac:dyDescent="0.25">
      <c r="B72" s="71">
        <v>2150</v>
      </c>
      <c r="C72" s="72" t="s">
        <v>38</v>
      </c>
      <c r="E72" s="73">
        <v>29.01</v>
      </c>
      <c r="F72" s="74">
        <f t="shared" si="28"/>
        <v>39.981038706089677</v>
      </c>
      <c r="G72" s="75">
        <v>4</v>
      </c>
      <c r="H72" s="56" t="s">
        <v>43</v>
      </c>
      <c r="I72" s="73">
        <f t="shared" ref="I72:I106" si="113">F72/G72</f>
        <v>9.9952596765224193</v>
      </c>
      <c r="K72" s="68">
        <f t="shared" ref="K72:K81" si="114">+J72*$I72</f>
        <v>0</v>
      </c>
      <c r="L72" s="62">
        <f t="shared" si="105"/>
        <v>0</v>
      </c>
      <c r="M72" s="69">
        <f t="shared" si="106"/>
        <v>0</v>
      </c>
      <c r="P72" s="68">
        <f t="shared" ref="P72:P81" si="115">O72*I72</f>
        <v>0</v>
      </c>
      <c r="Q72" s="62">
        <f t="shared" si="107"/>
        <v>0</v>
      </c>
      <c r="R72" s="69">
        <f t="shared" si="108"/>
        <v>0</v>
      </c>
      <c r="U72" s="68">
        <f t="shared" si="109"/>
        <v>0</v>
      </c>
      <c r="V72" s="62">
        <f t="shared" si="98"/>
        <v>0</v>
      </c>
      <c r="W72" s="69">
        <f t="shared" si="110"/>
        <v>0</v>
      </c>
      <c r="Y72" s="75">
        <f t="shared" si="103"/>
        <v>0</v>
      </c>
      <c r="Z72" s="68">
        <f t="shared" si="111"/>
        <v>0</v>
      </c>
      <c r="AA72" s="68">
        <f t="shared" si="100"/>
        <v>0</v>
      </c>
      <c r="AB72" s="69">
        <f t="shared" si="112"/>
        <v>0</v>
      </c>
      <c r="AD72" s="75">
        <f t="shared" si="104"/>
        <v>0</v>
      </c>
    </row>
    <row r="73" spans="1:34" ht="15" customHeight="1" outlineLevel="2" x14ac:dyDescent="0.25">
      <c r="B73" s="71">
        <v>2172</v>
      </c>
      <c r="C73" s="72" t="s">
        <v>133</v>
      </c>
      <c r="E73" s="73">
        <v>104.59</v>
      </c>
      <c r="F73" s="74">
        <f t="shared" ref="F73:F84" si="116">$D$6/$E$6*E73</f>
        <v>144.14397925783933</v>
      </c>
      <c r="G73" s="75">
        <v>12</v>
      </c>
      <c r="H73" s="56" t="s">
        <v>43</v>
      </c>
      <c r="I73" s="73">
        <f t="shared" si="113"/>
        <v>12.011998271486611</v>
      </c>
      <c r="K73" s="68">
        <f t="shared" si="114"/>
        <v>0</v>
      </c>
      <c r="L73" s="62">
        <f t="shared" si="105"/>
        <v>0</v>
      </c>
      <c r="M73" s="69">
        <f t="shared" si="106"/>
        <v>0</v>
      </c>
      <c r="P73" s="68">
        <f t="shared" si="115"/>
        <v>0</v>
      </c>
      <c r="Q73" s="62">
        <f t="shared" si="107"/>
        <v>0</v>
      </c>
      <c r="R73" s="69">
        <f t="shared" si="108"/>
        <v>0</v>
      </c>
      <c r="U73" s="68">
        <f t="shared" si="109"/>
        <v>0</v>
      </c>
      <c r="V73" s="62">
        <f t="shared" si="98"/>
        <v>0</v>
      </c>
      <c r="W73" s="69">
        <f t="shared" si="110"/>
        <v>0</v>
      </c>
      <c r="Y73" s="75">
        <f t="shared" si="103"/>
        <v>0</v>
      </c>
      <c r="Z73" s="68">
        <f t="shared" si="111"/>
        <v>0</v>
      </c>
      <c r="AA73" s="68">
        <f t="shared" si="100"/>
        <v>0</v>
      </c>
      <c r="AB73" s="69">
        <f t="shared" si="112"/>
        <v>0</v>
      </c>
      <c r="AD73" s="75">
        <f t="shared" si="104"/>
        <v>0</v>
      </c>
    </row>
    <row r="74" spans="1:34" ht="15" customHeight="1" outlineLevel="2" collapsed="1" x14ac:dyDescent="0.25">
      <c r="B74" s="71">
        <v>2149</v>
      </c>
      <c r="C74" s="72" t="s">
        <v>48</v>
      </c>
      <c r="E74" s="73">
        <v>101.74</v>
      </c>
      <c r="F74" s="74">
        <f t="shared" si="116"/>
        <v>140.2161626321118</v>
      </c>
      <c r="G74" s="75">
        <v>12</v>
      </c>
      <c r="H74" s="56" t="s">
        <v>43</v>
      </c>
      <c r="I74" s="73">
        <f t="shared" si="113"/>
        <v>11.684680219342651</v>
      </c>
      <c r="K74" s="68">
        <f t="shared" si="114"/>
        <v>0</v>
      </c>
      <c r="L74" s="62">
        <f t="shared" si="105"/>
        <v>0</v>
      </c>
      <c r="M74" s="69">
        <f t="shared" si="106"/>
        <v>0</v>
      </c>
      <c r="P74" s="68">
        <f t="shared" si="115"/>
        <v>0</v>
      </c>
      <c r="Q74" s="62">
        <f t="shared" si="107"/>
        <v>0</v>
      </c>
      <c r="R74" s="69">
        <f t="shared" si="108"/>
        <v>0</v>
      </c>
      <c r="U74" s="68">
        <f t="shared" si="109"/>
        <v>0</v>
      </c>
      <c r="V74" s="62">
        <f t="shared" si="98"/>
        <v>0</v>
      </c>
      <c r="W74" s="69">
        <f t="shared" si="110"/>
        <v>0</v>
      </c>
      <c r="Y74" s="75">
        <f t="shared" si="103"/>
        <v>0</v>
      </c>
      <c r="Z74" s="68">
        <f t="shared" si="111"/>
        <v>0</v>
      </c>
      <c r="AA74" s="68">
        <f t="shared" si="100"/>
        <v>0</v>
      </c>
      <c r="AB74" s="69">
        <f t="shared" si="112"/>
        <v>0</v>
      </c>
      <c r="AD74" s="75">
        <f t="shared" si="104"/>
        <v>0</v>
      </c>
    </row>
    <row r="75" spans="1:34" ht="15" customHeight="1" outlineLevel="2" x14ac:dyDescent="0.25">
      <c r="B75" s="71">
        <v>2150</v>
      </c>
      <c r="C75" s="72" t="s">
        <v>38</v>
      </c>
      <c r="E75" s="73">
        <v>101.74</v>
      </c>
      <c r="F75" s="74">
        <f t="shared" si="116"/>
        <v>140.2161626321118</v>
      </c>
      <c r="G75" s="75">
        <v>12</v>
      </c>
      <c r="H75" s="56" t="s">
        <v>43</v>
      </c>
      <c r="I75" s="73">
        <f t="shared" si="113"/>
        <v>11.684680219342651</v>
      </c>
      <c r="K75" s="68">
        <f t="shared" si="114"/>
        <v>0</v>
      </c>
      <c r="L75" s="62">
        <f t="shared" si="105"/>
        <v>0</v>
      </c>
      <c r="M75" s="69">
        <f t="shared" si="106"/>
        <v>0</v>
      </c>
      <c r="P75" s="68">
        <f t="shared" si="115"/>
        <v>0</v>
      </c>
      <c r="Q75" s="62">
        <f t="shared" si="107"/>
        <v>0</v>
      </c>
      <c r="R75" s="69">
        <f t="shared" si="108"/>
        <v>0</v>
      </c>
      <c r="U75" s="68">
        <f t="shared" si="109"/>
        <v>0</v>
      </c>
      <c r="V75" s="62">
        <f t="shared" si="98"/>
        <v>0</v>
      </c>
      <c r="W75" s="69">
        <f t="shared" si="110"/>
        <v>0</v>
      </c>
      <c r="Y75" s="75">
        <f t="shared" si="103"/>
        <v>0</v>
      </c>
      <c r="Z75" s="68">
        <f t="shared" si="111"/>
        <v>0</v>
      </c>
      <c r="AA75" s="68">
        <f t="shared" si="100"/>
        <v>0</v>
      </c>
      <c r="AB75" s="69">
        <f t="shared" si="112"/>
        <v>0</v>
      </c>
      <c r="AD75" s="75">
        <f t="shared" si="104"/>
        <v>0</v>
      </c>
    </row>
    <row r="76" spans="1:34" ht="15" customHeight="1" outlineLevel="2" x14ac:dyDescent="0.25">
      <c r="B76" s="71">
        <v>2490</v>
      </c>
      <c r="C76" s="72" t="s">
        <v>37</v>
      </c>
      <c r="E76" s="73">
        <v>36</v>
      </c>
      <c r="F76" s="74">
        <f t="shared" si="116"/>
        <v>49.614525798663507</v>
      </c>
      <c r="G76" s="75">
        <v>12</v>
      </c>
      <c r="H76" s="56" t="s">
        <v>43</v>
      </c>
      <c r="I76" s="73">
        <f t="shared" si="113"/>
        <v>4.1345438165552926</v>
      </c>
      <c r="K76" s="68">
        <f t="shared" si="114"/>
        <v>0</v>
      </c>
      <c r="L76" s="62">
        <f t="shared" si="105"/>
        <v>0</v>
      </c>
      <c r="M76" s="69">
        <f t="shared" si="106"/>
        <v>0</v>
      </c>
      <c r="P76" s="68">
        <f t="shared" si="115"/>
        <v>0</v>
      </c>
      <c r="Q76" s="62">
        <f t="shared" si="107"/>
        <v>0</v>
      </c>
      <c r="R76" s="69">
        <f t="shared" si="108"/>
        <v>0</v>
      </c>
      <c r="U76" s="68">
        <f t="shared" si="109"/>
        <v>0</v>
      </c>
      <c r="V76" s="62">
        <f t="shared" si="98"/>
        <v>0</v>
      </c>
      <c r="W76" s="69">
        <f t="shared" si="110"/>
        <v>0</v>
      </c>
      <c r="Y76" s="75">
        <f t="shared" si="103"/>
        <v>0</v>
      </c>
      <c r="Z76" s="68">
        <f t="shared" si="111"/>
        <v>0</v>
      </c>
      <c r="AA76" s="68">
        <f t="shared" si="100"/>
        <v>0</v>
      </c>
      <c r="AB76" s="69">
        <f t="shared" si="112"/>
        <v>0</v>
      </c>
      <c r="AD76" s="75">
        <f t="shared" si="104"/>
        <v>0</v>
      </c>
    </row>
    <row r="77" spans="1:34" ht="15" customHeight="1" outlineLevel="1" x14ac:dyDescent="0.25">
      <c r="A77" s="67"/>
      <c r="B77" s="66"/>
      <c r="C77" s="67" t="s">
        <v>146</v>
      </c>
      <c r="D77" s="68"/>
      <c r="E77" s="68">
        <v>991.42</v>
      </c>
      <c r="F77" s="68">
        <f t="shared" si="116"/>
        <v>1366.3564768697493</v>
      </c>
      <c r="G77" s="69">
        <v>4</v>
      </c>
      <c r="H77" s="67" t="s">
        <v>39</v>
      </c>
      <c r="I77" s="68">
        <f t="shared" si="113"/>
        <v>341.58911921743731</v>
      </c>
      <c r="J77" s="69">
        <v>4</v>
      </c>
      <c r="K77" s="68">
        <f t="shared" si="114"/>
        <v>1366.3564768697493</v>
      </c>
      <c r="L77" s="62">
        <f t="shared" si="105"/>
        <v>0</v>
      </c>
      <c r="M77" s="69">
        <f t="shared" si="106"/>
        <v>0</v>
      </c>
      <c r="N77" s="70">
        <f t="shared" ref="N77" si="117">100%-(L77/$F77)</f>
        <v>1</v>
      </c>
      <c r="O77" s="69"/>
      <c r="P77" s="68">
        <f t="shared" si="115"/>
        <v>0</v>
      </c>
      <c r="Q77" s="62">
        <f t="shared" si="107"/>
        <v>1366.3564768697493</v>
      </c>
      <c r="R77" s="69">
        <f t="shared" si="108"/>
        <v>4</v>
      </c>
      <c r="S77" s="70">
        <f t="shared" ref="S77" si="118">100%-(Q77/$F77)</f>
        <v>0</v>
      </c>
      <c r="T77" s="69"/>
      <c r="U77" s="68">
        <f t="shared" si="109"/>
        <v>0</v>
      </c>
      <c r="V77" s="62">
        <f t="shared" si="98"/>
        <v>1366.3564768697493</v>
      </c>
      <c r="W77" s="69">
        <f t="shared" si="110"/>
        <v>4</v>
      </c>
      <c r="X77" s="70">
        <f t="shared" ref="X77" si="119">100%-(V77/$F77)</f>
        <v>0</v>
      </c>
      <c r="Y77" s="69"/>
      <c r="Z77" s="68">
        <f t="shared" si="111"/>
        <v>0</v>
      </c>
      <c r="AA77" s="68">
        <f t="shared" si="100"/>
        <v>1366.3564768697493</v>
      </c>
      <c r="AB77" s="69">
        <f t="shared" si="112"/>
        <v>4</v>
      </c>
      <c r="AC77" s="70">
        <f t="shared" ref="AC77" si="120">100%-(AA77/$F77)</f>
        <v>0</v>
      </c>
      <c r="AD77" s="69"/>
      <c r="AE77" s="68">
        <f>AD77*I77</f>
        <v>0</v>
      </c>
      <c r="AF77" s="68">
        <f>F77-AE77</f>
        <v>1366.3564768697493</v>
      </c>
      <c r="AG77" s="69">
        <f>G77-AD77</f>
        <v>4</v>
      </c>
      <c r="AH77" s="70">
        <f t="shared" ref="AH77" si="121">100%-(AF77/$F77)</f>
        <v>0</v>
      </c>
    </row>
    <row r="78" spans="1:34" ht="15" customHeight="1" outlineLevel="2" x14ac:dyDescent="0.25">
      <c r="B78" s="71">
        <v>2435</v>
      </c>
      <c r="C78" s="72" t="s">
        <v>137</v>
      </c>
      <c r="E78" s="73">
        <v>966.7</v>
      </c>
      <c r="F78" s="74">
        <f t="shared" si="116"/>
        <v>1332.2878358213338</v>
      </c>
      <c r="G78" s="75">
        <v>4</v>
      </c>
      <c r="H78" s="56" t="s">
        <v>39</v>
      </c>
      <c r="I78" s="73">
        <f t="shared" si="113"/>
        <v>333.07195895533346</v>
      </c>
      <c r="K78" s="68">
        <f t="shared" si="114"/>
        <v>0</v>
      </c>
      <c r="L78" s="62">
        <f t="shared" si="105"/>
        <v>0</v>
      </c>
      <c r="M78" s="69">
        <f t="shared" si="106"/>
        <v>0</v>
      </c>
      <c r="P78" s="68">
        <f t="shared" si="115"/>
        <v>0</v>
      </c>
      <c r="Q78" s="62">
        <f t="shared" si="107"/>
        <v>0</v>
      </c>
      <c r="R78" s="69">
        <f t="shared" si="108"/>
        <v>0</v>
      </c>
      <c r="U78" s="68">
        <f t="shared" si="109"/>
        <v>0</v>
      </c>
      <c r="V78" s="62">
        <f t="shared" si="98"/>
        <v>0</v>
      </c>
      <c r="W78" s="69">
        <f t="shared" si="110"/>
        <v>0</v>
      </c>
      <c r="Y78" s="75">
        <f>$AD$77*B78/$G$77</f>
        <v>0</v>
      </c>
      <c r="Z78" s="68">
        <f t="shared" si="111"/>
        <v>0</v>
      </c>
      <c r="AA78" s="68">
        <f t="shared" si="100"/>
        <v>0</v>
      </c>
      <c r="AB78" s="69">
        <f t="shared" si="112"/>
        <v>0</v>
      </c>
      <c r="AD78" s="75">
        <f>$AD$77*G78/$G$77</f>
        <v>0</v>
      </c>
    </row>
    <row r="79" spans="1:34" ht="15" customHeight="1" outlineLevel="2" x14ac:dyDescent="0.25">
      <c r="B79" s="71">
        <v>2490</v>
      </c>
      <c r="C79" s="72" t="s">
        <v>37</v>
      </c>
      <c r="E79" s="73">
        <v>9.5500000000000007</v>
      </c>
      <c r="F79" s="74">
        <f t="shared" si="116"/>
        <v>13.161631149367681</v>
      </c>
      <c r="G79" s="75">
        <v>1</v>
      </c>
      <c r="H79" s="56" t="s">
        <v>43</v>
      </c>
      <c r="I79" s="73">
        <f t="shared" si="113"/>
        <v>13.161631149367681</v>
      </c>
      <c r="K79" s="68">
        <f t="shared" si="114"/>
        <v>0</v>
      </c>
      <c r="L79" s="62">
        <f t="shared" si="105"/>
        <v>0</v>
      </c>
      <c r="M79" s="69">
        <f t="shared" si="106"/>
        <v>0</v>
      </c>
      <c r="P79" s="68">
        <f t="shared" si="115"/>
        <v>0</v>
      </c>
      <c r="Q79" s="62">
        <f t="shared" si="107"/>
        <v>0</v>
      </c>
      <c r="R79" s="69">
        <f t="shared" si="108"/>
        <v>0</v>
      </c>
      <c r="U79" s="68">
        <f t="shared" si="109"/>
        <v>0</v>
      </c>
      <c r="V79" s="62">
        <f t="shared" si="98"/>
        <v>0</v>
      </c>
      <c r="W79" s="69">
        <f t="shared" si="110"/>
        <v>0</v>
      </c>
      <c r="Y79" s="75">
        <f>$AD$77*B79/$G$77</f>
        <v>0</v>
      </c>
      <c r="Z79" s="68">
        <f t="shared" si="111"/>
        <v>0</v>
      </c>
      <c r="AA79" s="68">
        <f t="shared" si="100"/>
        <v>0</v>
      </c>
      <c r="AB79" s="69">
        <f t="shared" si="112"/>
        <v>0</v>
      </c>
      <c r="AD79" s="75">
        <f>$AD$77*G79/$G$77</f>
        <v>0</v>
      </c>
    </row>
    <row r="80" spans="1:34" ht="15" customHeight="1" outlineLevel="2" x14ac:dyDescent="0.25">
      <c r="B80" s="71">
        <v>2150</v>
      </c>
      <c r="C80" s="72" t="s">
        <v>38</v>
      </c>
      <c r="E80" s="73">
        <v>15.17</v>
      </c>
      <c r="F80" s="74">
        <f t="shared" si="116"/>
        <v>20.907009899047928</v>
      </c>
      <c r="G80" s="75">
        <v>1</v>
      </c>
      <c r="H80" s="56" t="s">
        <v>43</v>
      </c>
      <c r="I80" s="73">
        <f t="shared" si="113"/>
        <v>20.907009899047928</v>
      </c>
      <c r="K80" s="68">
        <f t="shared" si="114"/>
        <v>0</v>
      </c>
      <c r="L80" s="62">
        <f t="shared" si="105"/>
        <v>0</v>
      </c>
      <c r="M80" s="69">
        <f t="shared" si="106"/>
        <v>0</v>
      </c>
      <c r="P80" s="68">
        <f t="shared" si="115"/>
        <v>0</v>
      </c>
      <c r="Q80" s="62">
        <f t="shared" si="107"/>
        <v>0</v>
      </c>
      <c r="R80" s="69">
        <f t="shared" si="108"/>
        <v>0</v>
      </c>
      <c r="U80" s="68">
        <f t="shared" si="109"/>
        <v>0</v>
      </c>
      <c r="V80" s="62">
        <f t="shared" si="98"/>
        <v>0</v>
      </c>
      <c r="W80" s="69">
        <f t="shared" si="110"/>
        <v>0</v>
      </c>
      <c r="Y80" s="75">
        <f>$AD$77*B80/$G$77</f>
        <v>0</v>
      </c>
      <c r="Z80" s="68">
        <f t="shared" si="111"/>
        <v>0</v>
      </c>
      <c r="AA80" s="68">
        <f t="shared" si="100"/>
        <v>0</v>
      </c>
      <c r="AB80" s="69">
        <f t="shared" si="112"/>
        <v>0</v>
      </c>
      <c r="AD80" s="75">
        <f>$AD$77*G80/$G$77</f>
        <v>0</v>
      </c>
    </row>
    <row r="81" spans="1:34" ht="15" customHeight="1" outlineLevel="1" x14ac:dyDescent="0.25">
      <c r="A81" s="67"/>
      <c r="B81" s="66"/>
      <c r="C81" s="67" t="s">
        <v>147</v>
      </c>
      <c r="D81" s="68"/>
      <c r="E81" s="68">
        <v>4941.05</v>
      </c>
      <c r="F81" s="68">
        <f t="shared" si="116"/>
        <v>6809.6625749301757</v>
      </c>
      <c r="G81" s="69">
        <v>32</v>
      </c>
      <c r="H81" s="67" t="s">
        <v>39</v>
      </c>
      <c r="I81" s="68">
        <f t="shared" si="113"/>
        <v>212.80195546656799</v>
      </c>
      <c r="J81" s="69">
        <v>10</v>
      </c>
      <c r="K81" s="68">
        <f t="shared" si="114"/>
        <v>2128.0195546656801</v>
      </c>
      <c r="L81" s="62">
        <f t="shared" si="105"/>
        <v>4681.6430202644951</v>
      </c>
      <c r="M81" s="69">
        <f t="shared" si="106"/>
        <v>22</v>
      </c>
      <c r="N81" s="70">
        <f t="shared" ref="N81" si="122">100%-(L81/$F81)</f>
        <v>0.31250000000000011</v>
      </c>
      <c r="O81" s="69"/>
      <c r="P81" s="68">
        <f t="shared" si="115"/>
        <v>0</v>
      </c>
      <c r="Q81" s="62">
        <f t="shared" si="107"/>
        <v>6809.6625749301757</v>
      </c>
      <c r="R81" s="69">
        <f t="shared" si="108"/>
        <v>32</v>
      </c>
      <c r="S81" s="70">
        <f t="shared" ref="S81" si="123">100%-(Q81/$F81)</f>
        <v>0</v>
      </c>
      <c r="T81" s="69"/>
      <c r="U81" s="68">
        <f t="shared" si="109"/>
        <v>0</v>
      </c>
      <c r="V81" s="62">
        <f t="shared" si="98"/>
        <v>6809.6625749301757</v>
      </c>
      <c r="W81" s="69">
        <f t="shared" si="110"/>
        <v>32</v>
      </c>
      <c r="X81" s="70">
        <f t="shared" ref="X81" si="124">100%-(V81/$F81)</f>
        <v>0</v>
      </c>
      <c r="Y81" s="69"/>
      <c r="Z81" s="68">
        <f t="shared" si="111"/>
        <v>0</v>
      </c>
      <c r="AA81" s="68">
        <f t="shared" si="100"/>
        <v>6809.6625749301757</v>
      </c>
      <c r="AB81" s="69">
        <f t="shared" si="112"/>
        <v>32</v>
      </c>
      <c r="AC81" s="70">
        <f t="shared" ref="AC81" si="125">100%-(AA81/$F81)</f>
        <v>0</v>
      </c>
      <c r="AD81" s="69"/>
      <c r="AE81" s="68">
        <f>AD81*I81</f>
        <v>0</v>
      </c>
      <c r="AF81" s="68">
        <f>F81-AE81</f>
        <v>6809.6625749301757</v>
      </c>
      <c r="AG81" s="69">
        <f>G81-AD81</f>
        <v>32</v>
      </c>
      <c r="AH81" s="70">
        <f t="shared" ref="AH81" si="126">100%-(AF81/$F81)</f>
        <v>0</v>
      </c>
    </row>
    <row r="82" spans="1:34" ht="15" customHeight="1" outlineLevel="2" x14ac:dyDescent="0.25">
      <c r="B82" s="71">
        <v>2400</v>
      </c>
      <c r="C82" s="72" t="s">
        <v>139</v>
      </c>
      <c r="E82" s="73">
        <v>4833.51</v>
      </c>
      <c r="F82" s="74">
        <f t="shared" si="116"/>
        <v>6661.4529609193905</v>
      </c>
      <c r="G82" s="75">
        <v>1</v>
      </c>
      <c r="H82" s="56" t="s">
        <v>34</v>
      </c>
      <c r="I82" s="73">
        <f t="shared" si="113"/>
        <v>6661.4529609193905</v>
      </c>
      <c r="L82" s="62">
        <f t="shared" si="105"/>
        <v>0</v>
      </c>
      <c r="Q82" s="62">
        <f t="shared" si="107"/>
        <v>0</v>
      </c>
      <c r="V82" s="62">
        <f t="shared" si="98"/>
        <v>0</v>
      </c>
      <c r="Y82" s="75">
        <f>$AD$81*B82/$G$81</f>
        <v>0</v>
      </c>
      <c r="AA82" s="68">
        <f t="shared" si="100"/>
        <v>0</v>
      </c>
      <c r="AD82" s="75">
        <f>$AD$81*G82/$G$81</f>
        <v>0</v>
      </c>
    </row>
    <row r="83" spans="1:34" ht="15" customHeight="1" outlineLevel="2" collapsed="1" x14ac:dyDescent="0.25">
      <c r="B83" s="71">
        <v>2490</v>
      </c>
      <c r="C83" s="72" t="s">
        <v>37</v>
      </c>
      <c r="E83" s="73">
        <v>61.12</v>
      </c>
      <c r="F83" s="74">
        <f t="shared" si="116"/>
        <v>84.234439355953157</v>
      </c>
      <c r="G83" s="75">
        <v>6.4</v>
      </c>
      <c r="H83" s="56" t="s">
        <v>43</v>
      </c>
      <c r="I83" s="73">
        <f t="shared" si="113"/>
        <v>13.161631149367681</v>
      </c>
      <c r="L83" s="62">
        <f t="shared" si="105"/>
        <v>0</v>
      </c>
      <c r="Q83" s="62">
        <f t="shared" si="107"/>
        <v>0</v>
      </c>
      <c r="V83" s="62">
        <f t="shared" si="98"/>
        <v>0</v>
      </c>
      <c r="Y83" s="75">
        <f>$AD$81*B83/$G$81</f>
        <v>0</v>
      </c>
      <c r="AA83" s="68">
        <f t="shared" si="100"/>
        <v>0</v>
      </c>
      <c r="AD83" s="75">
        <f>$AD$81*G83/$G$81</f>
        <v>0</v>
      </c>
    </row>
    <row r="84" spans="1:34" ht="15" customHeight="1" outlineLevel="2" x14ac:dyDescent="0.25">
      <c r="B84" s="71">
        <v>2150</v>
      </c>
      <c r="C84" s="72" t="s">
        <v>38</v>
      </c>
      <c r="E84" s="73">
        <v>46.42</v>
      </c>
      <c r="F84" s="74">
        <f t="shared" si="116"/>
        <v>63.975174654832223</v>
      </c>
      <c r="G84" s="75">
        <v>6.4</v>
      </c>
      <c r="H84" s="56" t="s">
        <v>43</v>
      </c>
      <c r="I84" s="73">
        <f t="shared" si="113"/>
        <v>9.9961210398175346</v>
      </c>
      <c r="L84" s="62">
        <f t="shared" si="105"/>
        <v>0</v>
      </c>
      <c r="Q84" s="62">
        <f t="shared" si="107"/>
        <v>0</v>
      </c>
      <c r="V84" s="62">
        <f t="shared" si="98"/>
        <v>0</v>
      </c>
      <c r="Y84" s="75">
        <f>$AD$81*B84/$G$81</f>
        <v>0</v>
      </c>
      <c r="AA84" s="68">
        <f t="shared" si="100"/>
        <v>0</v>
      </c>
      <c r="AD84" s="75">
        <f>$AD$81*G84/$G$81</f>
        <v>0</v>
      </c>
    </row>
    <row r="85" spans="1:34" ht="15" customHeight="1" x14ac:dyDescent="0.25">
      <c r="A85" s="60">
        <v>3</v>
      </c>
      <c r="B85" s="60"/>
      <c r="C85" s="61" t="s">
        <v>87</v>
      </c>
      <c r="D85" s="62">
        <f>_xlfn.XLOOKUP(A85,SOV!$A$9:$A$27,SOV!$C$9:$C$27)</f>
        <v>1267100</v>
      </c>
      <c r="E85" s="62">
        <v>912203.67</v>
      </c>
      <c r="F85" s="62">
        <f>+F86+F88+F90+F94+F97+F99+F101+F104</f>
        <v>1267099.9861094616</v>
      </c>
      <c r="G85" s="63"/>
      <c r="H85" s="64"/>
      <c r="I85" s="62"/>
      <c r="J85" s="63"/>
      <c r="K85" s="62">
        <f>+K86+K88+K90+K94+K97+K99+K101+K104</f>
        <v>0</v>
      </c>
      <c r="L85" s="62">
        <f t="shared" si="105"/>
        <v>757247.44786356192</v>
      </c>
      <c r="M85" s="63"/>
      <c r="N85" s="65"/>
      <c r="O85" s="63"/>
      <c r="P85" s="62">
        <f>+P86+P88+P90+P94+P97+P99+P101+P104</f>
        <v>30233.31865166792</v>
      </c>
      <c r="Q85" s="62">
        <f t="shared" si="107"/>
        <v>757247.44786356192</v>
      </c>
      <c r="R85" s="63"/>
      <c r="S85" s="65"/>
      <c r="T85" s="63"/>
      <c r="U85" s="62">
        <f>+U86+U88+U90+U94+U97+U99+U101+U104</f>
        <v>88343.915787531994</v>
      </c>
      <c r="V85" s="62">
        <f t="shared" si="98"/>
        <v>787480.76651522983</v>
      </c>
      <c r="W85" s="63"/>
      <c r="X85" s="65"/>
      <c r="Y85" s="63"/>
      <c r="Z85" s="62">
        <f>SUM(Z86:Z106)</f>
        <v>28441.675810021246</v>
      </c>
      <c r="AA85" s="68">
        <f t="shared" si="100"/>
        <v>875824.68230276182</v>
      </c>
      <c r="AB85" s="63"/>
      <c r="AC85" s="65"/>
      <c r="AD85" s="63"/>
      <c r="AE85" s="62">
        <f>SUM(AE86:AE106)</f>
        <v>362833.6279966787</v>
      </c>
      <c r="AF85" s="62">
        <f>SUM(AF86:AF106)</f>
        <v>904266.35811278305</v>
      </c>
      <c r="AG85" s="63"/>
      <c r="AH85" s="65"/>
    </row>
    <row r="86" spans="1:34" ht="15" customHeight="1" outlineLevel="1" x14ac:dyDescent="0.25">
      <c r="A86" s="67"/>
      <c r="B86" s="66"/>
      <c r="C86" s="67" t="s">
        <v>148</v>
      </c>
      <c r="D86" s="68"/>
      <c r="E86" s="68">
        <v>16412.939999999999</v>
      </c>
      <c r="F86" s="68">
        <f>$D$85/$E$85*E86</f>
        <v>22798.457140607643</v>
      </c>
      <c r="G86" s="69">
        <v>4500</v>
      </c>
      <c r="H86" s="67" t="s">
        <v>42</v>
      </c>
      <c r="I86" s="68">
        <f t="shared" si="113"/>
        <v>5.0663238090239204</v>
      </c>
      <c r="J86" s="69"/>
      <c r="K86" s="68">
        <f>+J86*$I86</f>
        <v>0</v>
      </c>
      <c r="L86" s="62">
        <f t="shared" si="105"/>
        <v>0</v>
      </c>
      <c r="M86" s="69">
        <f t="shared" ref="M86:M104" si="127">+R86-J86</f>
        <v>0</v>
      </c>
      <c r="N86" s="70">
        <f t="shared" ref="N86" si="128">100%-(L86/$F86)</f>
        <v>1</v>
      </c>
      <c r="O86" s="69"/>
      <c r="P86" s="68">
        <f>+O86*$I86</f>
        <v>0</v>
      </c>
      <c r="Q86" s="62">
        <f t="shared" si="107"/>
        <v>0</v>
      </c>
      <c r="R86" s="69">
        <f t="shared" ref="R86:R104" si="129">+W86-O86</f>
        <v>0</v>
      </c>
      <c r="S86" s="70">
        <f t="shared" ref="S86" si="130">100%-(Q86/$F86)</f>
        <v>1</v>
      </c>
      <c r="T86" s="69"/>
      <c r="U86" s="68">
        <f>+T86*$I86</f>
        <v>0</v>
      </c>
      <c r="V86" s="62">
        <f t="shared" si="98"/>
        <v>0</v>
      </c>
      <c r="W86" s="69">
        <f t="shared" ref="W86:W104" si="131">+AB86-T86</f>
        <v>0</v>
      </c>
      <c r="X86" s="70">
        <f t="shared" ref="X86" si="132">100%-(V86/$F86)</f>
        <v>1</v>
      </c>
      <c r="Y86" s="69"/>
      <c r="Z86" s="68">
        <f t="shared" ref="Z86:Z106" si="133">Y86*I86</f>
        <v>0</v>
      </c>
      <c r="AA86" s="68">
        <f t="shared" si="100"/>
        <v>0</v>
      </c>
      <c r="AB86" s="69">
        <f t="shared" ref="AB86:AB104" si="134">+AG86-Y86</f>
        <v>0</v>
      </c>
      <c r="AC86" s="70">
        <f t="shared" ref="AC86" si="135">100%-(AA86/$F86)</f>
        <v>1</v>
      </c>
      <c r="AD86" s="69">
        <v>4500</v>
      </c>
      <c r="AE86" s="68">
        <f>AD86*I86</f>
        <v>22798.457140607643</v>
      </c>
      <c r="AF86" s="68">
        <f>F86-AE86</f>
        <v>0</v>
      </c>
      <c r="AG86" s="69">
        <f>G86-AD86</f>
        <v>0</v>
      </c>
      <c r="AH86" s="70">
        <f t="shared" ref="AH86" si="136">100%-(AF86/$F86)</f>
        <v>1</v>
      </c>
    </row>
    <row r="87" spans="1:34" ht="15" customHeight="1" outlineLevel="2" x14ac:dyDescent="0.25">
      <c r="B87" s="71">
        <v>2120</v>
      </c>
      <c r="C87" s="56" t="s">
        <v>44</v>
      </c>
      <c r="E87" s="73">
        <v>16412.939999999999</v>
      </c>
      <c r="F87" s="74">
        <f t="shared" ref="F87:F106" si="137">$D$85/$E$85*E87</f>
        <v>22798.457140607643</v>
      </c>
      <c r="G87" s="75">
        <v>4500</v>
      </c>
      <c r="H87" s="56" t="s">
        <v>42</v>
      </c>
      <c r="I87" s="73">
        <f t="shared" si="113"/>
        <v>5.0663238090239204</v>
      </c>
      <c r="J87" s="69"/>
      <c r="K87" s="68">
        <f t="shared" ref="K87:K104" si="138">+J87*$I87</f>
        <v>0</v>
      </c>
      <c r="L87" s="62">
        <f t="shared" si="105"/>
        <v>0</v>
      </c>
      <c r="M87" s="69">
        <f t="shared" si="127"/>
        <v>0</v>
      </c>
      <c r="O87" s="69"/>
      <c r="P87" s="68">
        <f t="shared" ref="P87:P104" si="139">+O87*$I87</f>
        <v>0</v>
      </c>
      <c r="Q87" s="62">
        <f t="shared" si="107"/>
        <v>0</v>
      </c>
      <c r="R87" s="69">
        <f t="shared" si="129"/>
        <v>0</v>
      </c>
      <c r="U87" s="68">
        <f t="shared" ref="U87:U104" si="140">+T87*$I87</f>
        <v>0</v>
      </c>
      <c r="V87" s="62">
        <f t="shared" si="98"/>
        <v>0</v>
      </c>
      <c r="W87" s="69">
        <f t="shared" si="131"/>
        <v>0</v>
      </c>
      <c r="Z87" s="68">
        <f t="shared" si="133"/>
        <v>0</v>
      </c>
      <c r="AA87" s="68">
        <f t="shared" si="100"/>
        <v>0</v>
      </c>
      <c r="AB87" s="69">
        <f t="shared" si="134"/>
        <v>0</v>
      </c>
      <c r="AD87" s="75">
        <f>AD86</f>
        <v>4500</v>
      </c>
    </row>
    <row r="88" spans="1:34" ht="15" customHeight="1" outlineLevel="1" x14ac:dyDescent="0.25">
      <c r="A88" s="67"/>
      <c r="B88" s="66"/>
      <c r="C88" s="67" t="s">
        <v>149</v>
      </c>
      <c r="D88" s="68"/>
      <c r="E88" s="68">
        <v>29598.11</v>
      </c>
      <c r="F88" s="68">
        <f t="shared" si="137"/>
        <v>41113.368005853343</v>
      </c>
      <c r="G88" s="69">
        <v>3033</v>
      </c>
      <c r="H88" s="67" t="s">
        <v>42</v>
      </c>
      <c r="I88" s="68">
        <f t="shared" si="113"/>
        <v>13.555347182938787</v>
      </c>
      <c r="J88" s="69"/>
      <c r="K88" s="68">
        <f t="shared" si="138"/>
        <v>0</v>
      </c>
      <c r="L88" s="62">
        <f t="shared" si="105"/>
        <v>0</v>
      </c>
      <c r="M88" s="69">
        <f t="shared" si="127"/>
        <v>0</v>
      </c>
      <c r="N88" s="70">
        <f t="shared" ref="N88" si="141">100%-(L88/$F88)</f>
        <v>1</v>
      </c>
      <c r="O88" s="69"/>
      <c r="P88" s="68">
        <f t="shared" si="139"/>
        <v>0</v>
      </c>
      <c r="Q88" s="62">
        <f t="shared" si="107"/>
        <v>0</v>
      </c>
      <c r="R88" s="69">
        <f t="shared" si="129"/>
        <v>0</v>
      </c>
      <c r="S88" s="70">
        <f t="shared" ref="S88" si="142">100%-(Q88/$F88)</f>
        <v>1</v>
      </c>
      <c r="T88" s="87">
        <v>533</v>
      </c>
      <c r="U88" s="68">
        <f t="shared" si="140"/>
        <v>7225.0000485063738</v>
      </c>
      <c r="V88" s="62">
        <f t="shared" si="98"/>
        <v>0</v>
      </c>
      <c r="W88" s="69">
        <f t="shared" si="131"/>
        <v>0</v>
      </c>
      <c r="X88" s="70">
        <f t="shared" ref="X88" si="143">100%-(V88/$F88)</f>
        <v>1</v>
      </c>
      <c r="Y88" s="87">
        <v>500</v>
      </c>
      <c r="Z88" s="68">
        <f t="shared" si="133"/>
        <v>6777.6735914693936</v>
      </c>
      <c r="AA88" s="68">
        <f t="shared" si="100"/>
        <v>7225.0000485063747</v>
      </c>
      <c r="AB88" s="69">
        <f t="shared" si="134"/>
        <v>533</v>
      </c>
      <c r="AC88" s="70">
        <f t="shared" ref="AC88" si="144">100%-(AA88/$F88)</f>
        <v>0.82426640290141773</v>
      </c>
      <c r="AD88" s="69">
        <v>2000</v>
      </c>
      <c r="AE88" s="68">
        <f>AD88*I88</f>
        <v>27110.694365877574</v>
      </c>
      <c r="AF88" s="68">
        <f>F88-AE88</f>
        <v>14002.673639975768</v>
      </c>
      <c r="AG88" s="69">
        <f>+G88-AD88</f>
        <v>1033</v>
      </c>
      <c r="AH88" s="70">
        <f t="shared" ref="AH88" si="145">100%-(AF88/$F88)</f>
        <v>0.65941312232113414</v>
      </c>
    </row>
    <row r="89" spans="1:34" ht="15" customHeight="1" outlineLevel="2" x14ac:dyDescent="0.25">
      <c r="B89" s="71">
        <v>2130</v>
      </c>
      <c r="C89" s="56" t="s">
        <v>46</v>
      </c>
      <c r="E89" s="73">
        <v>29598.11</v>
      </c>
      <c r="F89" s="74">
        <f t="shared" si="137"/>
        <v>41113.368005853343</v>
      </c>
      <c r="G89" s="75">
        <v>3033</v>
      </c>
      <c r="H89" s="56" t="s">
        <v>42</v>
      </c>
      <c r="I89" s="73">
        <f t="shared" si="113"/>
        <v>13.555347182938787</v>
      </c>
      <c r="J89" s="69"/>
      <c r="K89" s="68">
        <f t="shared" si="138"/>
        <v>0</v>
      </c>
      <c r="L89" s="62">
        <f t="shared" si="105"/>
        <v>0</v>
      </c>
      <c r="M89" s="69">
        <f t="shared" si="127"/>
        <v>0</v>
      </c>
      <c r="O89" s="69"/>
      <c r="P89" s="68">
        <f t="shared" si="139"/>
        <v>0</v>
      </c>
      <c r="Q89" s="62">
        <f t="shared" si="107"/>
        <v>0</v>
      </c>
      <c r="R89" s="69">
        <f t="shared" si="129"/>
        <v>0</v>
      </c>
      <c r="U89" s="68">
        <f t="shared" si="140"/>
        <v>0</v>
      </c>
      <c r="V89" s="62">
        <f t="shared" si="98"/>
        <v>0</v>
      </c>
      <c r="W89" s="69">
        <f t="shared" si="131"/>
        <v>0</v>
      </c>
      <c r="Z89" s="68">
        <f t="shared" si="133"/>
        <v>0</v>
      </c>
      <c r="AA89" s="68">
        <f t="shared" si="100"/>
        <v>0</v>
      </c>
      <c r="AB89" s="69">
        <f t="shared" si="134"/>
        <v>0</v>
      </c>
      <c r="AD89" s="75">
        <f>AD88</f>
        <v>2000</v>
      </c>
    </row>
    <row r="90" spans="1:34" ht="15" customHeight="1" outlineLevel="1" x14ac:dyDescent="0.25">
      <c r="A90" s="67"/>
      <c r="B90" s="66"/>
      <c r="C90" s="67" t="s">
        <v>150</v>
      </c>
      <c r="D90" s="68"/>
      <c r="E90" s="68">
        <v>336393.34</v>
      </c>
      <c r="F90" s="68">
        <f t="shared" si="137"/>
        <v>467268.45674058731</v>
      </c>
      <c r="G90" s="69">
        <v>9706</v>
      </c>
      <c r="H90" s="67" t="s">
        <v>42</v>
      </c>
      <c r="I90" s="68">
        <f t="shared" si="113"/>
        <v>48.142227152337455</v>
      </c>
      <c r="J90" s="69"/>
      <c r="K90" s="68">
        <f t="shared" si="138"/>
        <v>0</v>
      </c>
      <c r="L90" s="62">
        <f t="shared" si="105"/>
        <v>30233.318651667905</v>
      </c>
      <c r="M90" s="69">
        <f t="shared" si="127"/>
        <v>628</v>
      </c>
      <c r="N90" s="70">
        <f t="shared" ref="N90" si="146">100%-(L90/$F90)</f>
        <v>0.93529775396661863</v>
      </c>
      <c r="O90" s="69">
        <v>628</v>
      </c>
      <c r="P90" s="68">
        <f t="shared" si="139"/>
        <v>30233.31865166792</v>
      </c>
      <c r="Q90" s="62">
        <f t="shared" si="107"/>
        <v>30233.318651667905</v>
      </c>
      <c r="R90" s="69">
        <f t="shared" si="129"/>
        <v>628</v>
      </c>
      <c r="S90" s="70">
        <f t="shared" ref="S90" si="147">100%-(Q90/$F90)</f>
        <v>0.93529775396661863</v>
      </c>
      <c r="T90" s="87">
        <v>1500</v>
      </c>
      <c r="U90" s="68">
        <f t="shared" si="140"/>
        <v>72213.340728506184</v>
      </c>
      <c r="V90" s="62">
        <f t="shared" si="98"/>
        <v>60466.637303335825</v>
      </c>
      <c r="W90" s="69">
        <f t="shared" si="131"/>
        <v>1256</v>
      </c>
      <c r="X90" s="70">
        <f t="shared" ref="X90" si="148">100%-(V90/$F90)</f>
        <v>0.87059550793323726</v>
      </c>
      <c r="Y90" s="87">
        <v>450</v>
      </c>
      <c r="Z90" s="68">
        <f t="shared" si="133"/>
        <v>21664.002218551854</v>
      </c>
      <c r="AA90" s="68">
        <f t="shared" si="100"/>
        <v>132679.97803184201</v>
      </c>
      <c r="AB90" s="69">
        <f t="shared" si="134"/>
        <v>2756</v>
      </c>
      <c r="AC90" s="70">
        <f t="shared" ref="AC90" si="149">100%-(AA90/$F90)</f>
        <v>0.71605192664331341</v>
      </c>
      <c r="AD90" s="69">
        <v>6500</v>
      </c>
      <c r="AE90" s="68">
        <f>AD90*I90</f>
        <v>312924.47649019345</v>
      </c>
      <c r="AF90" s="68">
        <f>F90-AE90</f>
        <v>154343.98025039386</v>
      </c>
      <c r="AG90" s="69">
        <f>G90-AD90</f>
        <v>3206</v>
      </c>
      <c r="AH90" s="70">
        <f t="shared" ref="AH90" si="150">100%-(AF90/$F90)</f>
        <v>0.66968885225633634</v>
      </c>
    </row>
    <row r="91" spans="1:34" s="78" customFormat="1" ht="15" customHeight="1" outlineLevel="2" collapsed="1" x14ac:dyDescent="0.25">
      <c r="A91" s="56"/>
      <c r="B91" s="71">
        <v>2129</v>
      </c>
      <c r="C91" s="56" t="s">
        <v>45</v>
      </c>
      <c r="D91" s="73"/>
      <c r="E91" s="73">
        <v>35995.800000000003</v>
      </c>
      <c r="F91" s="74">
        <f t="shared" si="137"/>
        <v>50000.103792610265</v>
      </c>
      <c r="G91" s="75">
        <v>17470.8</v>
      </c>
      <c r="H91" s="56" t="s">
        <v>43</v>
      </c>
      <c r="I91" s="73">
        <f t="shared" si="113"/>
        <v>2.8619241129547741</v>
      </c>
      <c r="J91" s="69"/>
      <c r="K91" s="68">
        <f t="shared" si="138"/>
        <v>0</v>
      </c>
      <c r="L91" s="62">
        <f t="shared" si="105"/>
        <v>0</v>
      </c>
      <c r="M91" s="69">
        <f t="shared" si="127"/>
        <v>0</v>
      </c>
      <c r="N91" s="76"/>
      <c r="O91" s="69"/>
      <c r="P91" s="68">
        <f t="shared" si="139"/>
        <v>0</v>
      </c>
      <c r="Q91" s="62">
        <f t="shared" si="107"/>
        <v>0</v>
      </c>
      <c r="R91" s="69">
        <f t="shared" si="129"/>
        <v>0</v>
      </c>
      <c r="S91" s="76"/>
      <c r="T91" s="75"/>
      <c r="U91" s="68">
        <f t="shared" si="140"/>
        <v>0</v>
      </c>
      <c r="V91" s="62">
        <f t="shared" si="98"/>
        <v>0</v>
      </c>
      <c r="W91" s="69">
        <f t="shared" si="131"/>
        <v>0</v>
      </c>
      <c r="X91" s="76"/>
      <c r="Y91" s="75"/>
      <c r="Z91" s="68">
        <f t="shared" si="133"/>
        <v>0</v>
      </c>
      <c r="AA91" s="68">
        <f t="shared" si="100"/>
        <v>0</v>
      </c>
      <c r="AB91" s="69">
        <f t="shared" si="134"/>
        <v>0</v>
      </c>
      <c r="AC91" s="76"/>
      <c r="AD91" s="75">
        <v>11700</v>
      </c>
      <c r="AE91" s="73"/>
      <c r="AF91" s="73"/>
      <c r="AG91" s="75"/>
      <c r="AH91" s="76"/>
    </row>
    <row r="92" spans="1:34" ht="15" customHeight="1" outlineLevel="2" x14ac:dyDescent="0.25">
      <c r="B92" s="71">
        <v>2172</v>
      </c>
      <c r="C92" s="56" t="s">
        <v>133</v>
      </c>
      <c r="E92" s="73">
        <v>152275.54999999999</v>
      </c>
      <c r="F92" s="74">
        <f t="shared" si="137"/>
        <v>211518.93568351897</v>
      </c>
      <c r="G92" s="75">
        <v>17470.8</v>
      </c>
      <c r="H92" s="56" t="s">
        <v>43</v>
      </c>
      <c r="I92" s="73">
        <f t="shared" si="113"/>
        <v>12.106997715245951</v>
      </c>
      <c r="J92" s="69"/>
      <c r="K92" s="68">
        <f t="shared" si="138"/>
        <v>0</v>
      </c>
      <c r="L92" s="62">
        <f t="shared" si="105"/>
        <v>0</v>
      </c>
      <c r="M92" s="69">
        <f t="shared" si="127"/>
        <v>0</v>
      </c>
      <c r="O92" s="69"/>
      <c r="P92" s="68">
        <f t="shared" si="139"/>
        <v>0</v>
      </c>
      <c r="Q92" s="62">
        <f t="shared" si="107"/>
        <v>0</v>
      </c>
      <c r="R92" s="69">
        <f t="shared" si="129"/>
        <v>0</v>
      </c>
      <c r="U92" s="68">
        <f t="shared" si="140"/>
        <v>0</v>
      </c>
      <c r="V92" s="62">
        <f t="shared" si="98"/>
        <v>0</v>
      </c>
      <c r="W92" s="69">
        <f t="shared" si="131"/>
        <v>0</v>
      </c>
      <c r="Z92" s="68">
        <f t="shared" si="133"/>
        <v>0</v>
      </c>
      <c r="AA92" s="68">
        <f t="shared" si="100"/>
        <v>0</v>
      </c>
      <c r="AB92" s="69">
        <f t="shared" si="134"/>
        <v>0</v>
      </c>
      <c r="AD92" s="75">
        <v>11700</v>
      </c>
    </row>
    <row r="93" spans="1:34" ht="15" customHeight="1" outlineLevel="2" x14ac:dyDescent="0.25">
      <c r="B93" s="71">
        <v>2149</v>
      </c>
      <c r="C93" s="56" t="s">
        <v>48</v>
      </c>
      <c r="E93" s="73">
        <v>148122</v>
      </c>
      <c r="F93" s="74">
        <f t="shared" si="137"/>
        <v>205749.43115499633</v>
      </c>
      <c r="G93" s="75">
        <v>17470.8</v>
      </c>
      <c r="H93" s="56" t="s">
        <v>43</v>
      </c>
      <c r="I93" s="73">
        <f t="shared" si="113"/>
        <v>11.776760718169536</v>
      </c>
      <c r="J93" s="69"/>
      <c r="K93" s="68">
        <f t="shared" si="138"/>
        <v>0</v>
      </c>
      <c r="L93" s="62">
        <f t="shared" si="105"/>
        <v>0</v>
      </c>
      <c r="M93" s="69">
        <f t="shared" si="127"/>
        <v>0</v>
      </c>
      <c r="O93" s="69"/>
      <c r="P93" s="68">
        <f t="shared" si="139"/>
        <v>0</v>
      </c>
      <c r="Q93" s="62">
        <f t="shared" si="107"/>
        <v>0</v>
      </c>
      <c r="R93" s="69">
        <f t="shared" si="129"/>
        <v>0</v>
      </c>
      <c r="U93" s="68">
        <f t="shared" si="140"/>
        <v>0</v>
      </c>
      <c r="V93" s="62">
        <f t="shared" si="98"/>
        <v>0</v>
      </c>
      <c r="W93" s="69">
        <f t="shared" si="131"/>
        <v>0</v>
      </c>
      <c r="Z93" s="68">
        <f t="shared" si="133"/>
        <v>0</v>
      </c>
      <c r="AA93" s="68">
        <f t="shared" si="100"/>
        <v>0</v>
      </c>
      <c r="AB93" s="69">
        <f t="shared" si="134"/>
        <v>0</v>
      </c>
      <c r="AD93" s="75">
        <v>11700</v>
      </c>
    </row>
    <row r="94" spans="1:34" ht="15" customHeight="1" outlineLevel="1" x14ac:dyDescent="0.25">
      <c r="A94" s="67"/>
      <c r="B94" s="66"/>
      <c r="C94" s="67" t="s">
        <v>151</v>
      </c>
      <c r="D94" s="68"/>
      <c r="E94" s="68">
        <v>28753.24</v>
      </c>
      <c r="F94" s="68">
        <f t="shared" si="137"/>
        <v>39939.798097940125</v>
      </c>
      <c r="G94" s="69">
        <v>309531</v>
      </c>
      <c r="H94" s="67" t="s">
        <v>41</v>
      </c>
      <c r="I94" s="68">
        <f t="shared" si="113"/>
        <v>0.12903327323576677</v>
      </c>
      <c r="J94" s="69"/>
      <c r="K94" s="68">
        <f t="shared" si="138"/>
        <v>0</v>
      </c>
      <c r="L94" s="62">
        <f t="shared" si="105"/>
        <v>39939.798097940125</v>
      </c>
      <c r="M94" s="69">
        <f t="shared" si="127"/>
        <v>309531</v>
      </c>
      <c r="N94" s="70">
        <f t="shared" ref="N94" si="151">100%-(L94/$F94)</f>
        <v>0</v>
      </c>
      <c r="O94" s="69"/>
      <c r="P94" s="68">
        <f t="shared" si="139"/>
        <v>0</v>
      </c>
      <c r="Q94" s="62">
        <f t="shared" si="107"/>
        <v>39939.798097940125</v>
      </c>
      <c r="R94" s="69">
        <f t="shared" si="129"/>
        <v>309531</v>
      </c>
      <c r="S94" s="70">
        <f t="shared" ref="S94" si="152">100%-(Q94/$F94)</f>
        <v>0</v>
      </c>
      <c r="T94" s="69"/>
      <c r="U94" s="68">
        <f t="shared" si="140"/>
        <v>0</v>
      </c>
      <c r="V94" s="62">
        <f t="shared" si="98"/>
        <v>39939.798097940125</v>
      </c>
      <c r="W94" s="69">
        <f t="shared" si="131"/>
        <v>309531</v>
      </c>
      <c r="X94" s="70">
        <f t="shared" ref="X94" si="153">100%-(V94/$F94)</f>
        <v>0</v>
      </c>
      <c r="Y94" s="69"/>
      <c r="Z94" s="68">
        <f t="shared" si="133"/>
        <v>0</v>
      </c>
      <c r="AA94" s="68">
        <f t="shared" si="100"/>
        <v>39939.798097940125</v>
      </c>
      <c r="AB94" s="69">
        <f t="shared" si="134"/>
        <v>309531</v>
      </c>
      <c r="AC94" s="70">
        <f t="shared" ref="AC94" si="154">100%-(AA94/$F94)</f>
        <v>0</v>
      </c>
      <c r="AD94" s="69"/>
      <c r="AE94" s="68">
        <f>AD94*I94</f>
        <v>0</v>
      </c>
      <c r="AF94" s="68">
        <f>F94-AE94</f>
        <v>39939.798097940125</v>
      </c>
      <c r="AG94" s="69">
        <f>G94-AD94</f>
        <v>309531</v>
      </c>
      <c r="AH94" s="70">
        <f t="shared" ref="AH94" si="155">100%-(AF94/$F94)</f>
        <v>0</v>
      </c>
    </row>
    <row r="95" spans="1:34" ht="15" customHeight="1" outlineLevel="2" x14ac:dyDescent="0.25">
      <c r="B95" s="71">
        <v>2135</v>
      </c>
      <c r="C95" s="56" t="s">
        <v>47</v>
      </c>
      <c r="E95" s="73">
        <v>28103.22</v>
      </c>
      <c r="F95" s="74">
        <f t="shared" si="137"/>
        <v>39036.885328470555</v>
      </c>
      <c r="G95" s="75">
        <v>309531</v>
      </c>
      <c r="H95" s="56" t="s">
        <v>41</v>
      </c>
      <c r="I95" s="73">
        <f t="shared" si="113"/>
        <v>0.12611623820706344</v>
      </c>
      <c r="J95" s="75">
        <f t="shared" ref="J95:J96" si="156">J$94*$G95/$G$94</f>
        <v>0</v>
      </c>
      <c r="K95" s="68">
        <f t="shared" si="138"/>
        <v>0</v>
      </c>
      <c r="L95" s="62">
        <f t="shared" si="105"/>
        <v>0</v>
      </c>
      <c r="M95" s="69">
        <f t="shared" si="127"/>
        <v>0</v>
      </c>
      <c r="O95" s="75">
        <f>O$94*$G95/$G$94</f>
        <v>0</v>
      </c>
      <c r="P95" s="68">
        <f t="shared" si="139"/>
        <v>0</v>
      </c>
      <c r="Q95" s="62">
        <f t="shared" si="107"/>
        <v>0</v>
      </c>
      <c r="R95" s="69">
        <f t="shared" si="129"/>
        <v>0</v>
      </c>
      <c r="T95" s="75">
        <f>T$94*G95/$G$94</f>
        <v>0</v>
      </c>
      <c r="U95" s="68">
        <f t="shared" si="140"/>
        <v>0</v>
      </c>
      <c r="V95" s="62">
        <f t="shared" si="98"/>
        <v>0</v>
      </c>
      <c r="W95" s="69">
        <f t="shared" si="131"/>
        <v>0</v>
      </c>
      <c r="Y95" s="75">
        <f>$AD$94*B95/$G$94</f>
        <v>0</v>
      </c>
      <c r="Z95" s="68">
        <f t="shared" si="133"/>
        <v>0</v>
      </c>
      <c r="AA95" s="68">
        <f t="shared" si="100"/>
        <v>0</v>
      </c>
      <c r="AB95" s="69">
        <f t="shared" si="134"/>
        <v>0</v>
      </c>
      <c r="AD95" s="75">
        <f>$AD$94*G95/$G$94</f>
        <v>0</v>
      </c>
    </row>
    <row r="96" spans="1:34" ht="15" customHeight="1" outlineLevel="2" x14ac:dyDescent="0.25">
      <c r="B96" s="71">
        <v>1410</v>
      </c>
      <c r="C96" s="56" t="s">
        <v>104</v>
      </c>
      <c r="E96" s="73">
        <v>650.02</v>
      </c>
      <c r="F96" s="74">
        <f t="shared" si="137"/>
        <v>902.91276946956361</v>
      </c>
      <c r="G96" s="75">
        <v>185.72</v>
      </c>
      <c r="H96" s="56" t="s">
        <v>105</v>
      </c>
      <c r="I96" s="73">
        <f t="shared" si="113"/>
        <v>4.8616883990392186</v>
      </c>
      <c r="J96" s="75">
        <f t="shared" si="156"/>
        <v>0</v>
      </c>
      <c r="K96" s="68">
        <f t="shared" si="138"/>
        <v>0</v>
      </c>
      <c r="L96" s="62">
        <f t="shared" si="105"/>
        <v>0</v>
      </c>
      <c r="M96" s="69">
        <f t="shared" si="127"/>
        <v>0</v>
      </c>
      <c r="O96" s="75">
        <f>O$94*$G96/$G$94</f>
        <v>0</v>
      </c>
      <c r="P96" s="68">
        <f t="shared" si="139"/>
        <v>0</v>
      </c>
      <c r="Q96" s="62">
        <f t="shared" si="107"/>
        <v>0</v>
      </c>
      <c r="R96" s="69">
        <f t="shared" si="129"/>
        <v>0</v>
      </c>
      <c r="T96" s="75">
        <f>T$94*G96/$G$94</f>
        <v>0</v>
      </c>
      <c r="U96" s="68">
        <f t="shared" si="140"/>
        <v>0</v>
      </c>
      <c r="V96" s="62">
        <f t="shared" si="98"/>
        <v>0</v>
      </c>
      <c r="W96" s="69">
        <f t="shared" si="131"/>
        <v>0</v>
      </c>
      <c r="Y96" s="75">
        <f>$AD$94*B96/$G$94</f>
        <v>0</v>
      </c>
      <c r="Z96" s="68">
        <f t="shared" si="133"/>
        <v>0</v>
      </c>
      <c r="AA96" s="68">
        <f t="shared" si="100"/>
        <v>0</v>
      </c>
      <c r="AB96" s="69">
        <f t="shared" si="134"/>
        <v>0</v>
      </c>
      <c r="AD96" s="75">
        <f>$AD$94*G96/$G$94</f>
        <v>0</v>
      </c>
    </row>
    <row r="97" spans="1:34" ht="15" customHeight="1" outlineLevel="1" x14ac:dyDescent="0.25">
      <c r="A97" s="67"/>
      <c r="B97" s="66"/>
      <c r="C97" s="67" t="s">
        <v>152</v>
      </c>
      <c r="D97" s="68"/>
      <c r="E97" s="68">
        <v>14824.06</v>
      </c>
      <c r="F97" s="68">
        <f t="shared" si="137"/>
        <v>20591.417293903232</v>
      </c>
      <c r="G97" s="69">
        <v>1733</v>
      </c>
      <c r="H97" s="67" t="s">
        <v>42</v>
      </c>
      <c r="I97" s="68">
        <f t="shared" si="113"/>
        <v>11.881948813562165</v>
      </c>
      <c r="J97" s="69"/>
      <c r="K97" s="68">
        <f t="shared" si="138"/>
        <v>0</v>
      </c>
      <c r="L97" s="62">
        <f t="shared" si="105"/>
        <v>20591.417293903232</v>
      </c>
      <c r="M97" s="69">
        <f t="shared" si="127"/>
        <v>1733</v>
      </c>
      <c r="N97" s="70">
        <f t="shared" ref="N97" si="157">100%-(L97/$F97)</f>
        <v>0</v>
      </c>
      <c r="O97" s="69"/>
      <c r="P97" s="68">
        <f t="shared" si="139"/>
        <v>0</v>
      </c>
      <c r="Q97" s="62">
        <f t="shared" si="107"/>
        <v>20591.417293903232</v>
      </c>
      <c r="R97" s="69">
        <f t="shared" si="129"/>
        <v>1733</v>
      </c>
      <c r="S97" s="70">
        <f t="shared" ref="S97" si="158">100%-(Q97/$F97)</f>
        <v>0</v>
      </c>
      <c r="T97" s="69"/>
      <c r="U97" s="68">
        <f t="shared" si="140"/>
        <v>0</v>
      </c>
      <c r="V97" s="62">
        <f t="shared" si="98"/>
        <v>20591.417293903232</v>
      </c>
      <c r="W97" s="69">
        <f t="shared" si="131"/>
        <v>1733</v>
      </c>
      <c r="X97" s="70">
        <f t="shared" ref="X97" si="159">100%-(V97/$F97)</f>
        <v>0</v>
      </c>
      <c r="Y97" s="69"/>
      <c r="Z97" s="68">
        <f t="shared" si="133"/>
        <v>0</v>
      </c>
      <c r="AA97" s="68">
        <f t="shared" si="100"/>
        <v>20591.417293903232</v>
      </c>
      <c r="AB97" s="69">
        <f t="shared" si="134"/>
        <v>1733</v>
      </c>
      <c r="AC97" s="70">
        <f t="shared" ref="AC97" si="160">100%-(AA97/$F97)</f>
        <v>0</v>
      </c>
      <c r="AD97" s="69"/>
      <c r="AE97" s="68">
        <f>AD97*I97</f>
        <v>0</v>
      </c>
      <c r="AF97" s="68">
        <f>F97-AE97</f>
        <v>20591.417293903232</v>
      </c>
      <c r="AG97" s="69">
        <f>G97-AD97</f>
        <v>1733</v>
      </c>
      <c r="AH97" s="70">
        <f t="shared" ref="AH97" si="161">100%-(AF97/$F97)</f>
        <v>0</v>
      </c>
    </row>
    <row r="98" spans="1:34" ht="15" customHeight="1" outlineLevel="2" x14ac:dyDescent="0.25">
      <c r="B98" s="71">
        <v>2130</v>
      </c>
      <c r="C98" s="56" t="s">
        <v>46</v>
      </c>
      <c r="E98" s="73">
        <v>14824.06</v>
      </c>
      <c r="F98" s="74">
        <f t="shared" si="137"/>
        <v>20591.417293903232</v>
      </c>
      <c r="G98" s="75">
        <v>1733</v>
      </c>
      <c r="H98" s="56" t="s">
        <v>42</v>
      </c>
      <c r="I98" s="73">
        <f t="shared" si="113"/>
        <v>11.881948813562165</v>
      </c>
      <c r="J98" s="75">
        <f>J97</f>
        <v>0</v>
      </c>
      <c r="K98" s="68">
        <f t="shared" si="138"/>
        <v>0</v>
      </c>
      <c r="L98" s="62">
        <f t="shared" si="105"/>
        <v>0</v>
      </c>
      <c r="M98" s="69">
        <f t="shared" si="127"/>
        <v>0</v>
      </c>
      <c r="O98" s="75">
        <f>O97</f>
        <v>0</v>
      </c>
      <c r="P98" s="68">
        <f t="shared" si="139"/>
        <v>0</v>
      </c>
      <c r="Q98" s="62">
        <f t="shared" si="107"/>
        <v>0</v>
      </c>
      <c r="R98" s="69">
        <f t="shared" si="129"/>
        <v>0</v>
      </c>
      <c r="T98" s="75">
        <f>T97</f>
        <v>0</v>
      </c>
      <c r="U98" s="68">
        <f t="shared" si="140"/>
        <v>0</v>
      </c>
      <c r="V98" s="62">
        <f t="shared" si="98"/>
        <v>0</v>
      </c>
      <c r="W98" s="69">
        <f t="shared" si="131"/>
        <v>0</v>
      </c>
      <c r="Y98" s="75">
        <f>Y97</f>
        <v>0</v>
      </c>
      <c r="Z98" s="68">
        <f t="shared" si="133"/>
        <v>0</v>
      </c>
      <c r="AA98" s="68">
        <f t="shared" si="100"/>
        <v>0</v>
      </c>
      <c r="AB98" s="69">
        <f t="shared" si="134"/>
        <v>0</v>
      </c>
      <c r="AD98" s="75">
        <f>AD97</f>
        <v>0</v>
      </c>
    </row>
    <row r="99" spans="1:34" ht="15" customHeight="1" outlineLevel="1" x14ac:dyDescent="0.25">
      <c r="A99" s="67"/>
      <c r="B99" s="66"/>
      <c r="C99" s="67" t="s">
        <v>153</v>
      </c>
      <c r="D99" s="68"/>
      <c r="E99" s="68">
        <v>143821.35</v>
      </c>
      <c r="F99" s="68">
        <f t="shared" si="137"/>
        <v>199775.59680833117</v>
      </c>
      <c r="G99" s="69">
        <v>18818</v>
      </c>
      <c r="H99" s="67" t="s">
        <v>42</v>
      </c>
      <c r="I99" s="68">
        <f t="shared" si="113"/>
        <v>10.616197088337293</v>
      </c>
      <c r="J99" s="69"/>
      <c r="K99" s="68">
        <f t="shared" si="138"/>
        <v>0</v>
      </c>
      <c r="L99" s="62">
        <f t="shared" si="105"/>
        <v>199775.59680833117</v>
      </c>
      <c r="M99" s="69">
        <f t="shared" si="127"/>
        <v>18818</v>
      </c>
      <c r="N99" s="70">
        <f t="shared" ref="N99" si="162">100%-(L99/$F99)</f>
        <v>0</v>
      </c>
      <c r="O99" s="69"/>
      <c r="P99" s="68">
        <f t="shared" si="139"/>
        <v>0</v>
      </c>
      <c r="Q99" s="62">
        <f t="shared" si="107"/>
        <v>199775.59680833117</v>
      </c>
      <c r="R99" s="69">
        <f t="shared" si="129"/>
        <v>18818</v>
      </c>
      <c r="S99" s="70">
        <f t="shared" ref="S99" si="163">100%-(Q99/$F99)</f>
        <v>0</v>
      </c>
      <c r="T99" s="69"/>
      <c r="U99" s="68">
        <f t="shared" si="140"/>
        <v>0</v>
      </c>
      <c r="V99" s="62">
        <f t="shared" si="98"/>
        <v>199775.59680833117</v>
      </c>
      <c r="W99" s="69">
        <f t="shared" si="131"/>
        <v>18818</v>
      </c>
      <c r="X99" s="70">
        <f t="shared" ref="X99" si="164">100%-(V99/$F99)</f>
        <v>0</v>
      </c>
      <c r="Y99" s="69"/>
      <c r="Z99" s="68">
        <f t="shared" si="133"/>
        <v>0</v>
      </c>
      <c r="AA99" s="68">
        <f t="shared" si="100"/>
        <v>199775.59680833117</v>
      </c>
      <c r="AB99" s="69">
        <f t="shared" si="134"/>
        <v>18818</v>
      </c>
      <c r="AC99" s="70">
        <f t="shared" ref="AC99" si="165">100%-(AA99/$F99)</f>
        <v>0</v>
      </c>
      <c r="AD99" s="69"/>
      <c r="AE99" s="68">
        <f>AD99*I99</f>
        <v>0</v>
      </c>
      <c r="AF99" s="68">
        <f>F99-AE99</f>
        <v>199775.59680833117</v>
      </c>
      <c r="AG99" s="69">
        <f>G99-AD99</f>
        <v>18818</v>
      </c>
      <c r="AH99" s="70">
        <f t="shared" ref="AH99" si="166">100%-(AF99/$F99)</f>
        <v>0</v>
      </c>
    </row>
    <row r="100" spans="1:34" ht="15" customHeight="1" outlineLevel="2" x14ac:dyDescent="0.25">
      <c r="B100" s="71">
        <v>2130</v>
      </c>
      <c r="C100" s="56" t="s">
        <v>46</v>
      </c>
      <c r="E100" s="73">
        <v>143821.35</v>
      </c>
      <c r="F100" s="74">
        <f t="shared" si="137"/>
        <v>199775.59680833117</v>
      </c>
      <c r="G100" s="75">
        <v>18818</v>
      </c>
      <c r="H100" s="56" t="s">
        <v>42</v>
      </c>
      <c r="I100" s="73">
        <f t="shared" si="113"/>
        <v>10.616197088337293</v>
      </c>
      <c r="J100" s="69"/>
      <c r="K100" s="68">
        <f t="shared" si="138"/>
        <v>0</v>
      </c>
      <c r="L100" s="62">
        <f t="shared" si="105"/>
        <v>0</v>
      </c>
      <c r="M100" s="69">
        <f t="shared" si="127"/>
        <v>0</v>
      </c>
      <c r="O100" s="69"/>
      <c r="P100" s="68">
        <f t="shared" si="139"/>
        <v>0</v>
      </c>
      <c r="Q100" s="62">
        <f t="shared" si="107"/>
        <v>0</v>
      </c>
      <c r="R100" s="69">
        <f t="shared" si="129"/>
        <v>0</v>
      </c>
      <c r="T100" s="69"/>
      <c r="U100" s="68">
        <f t="shared" si="140"/>
        <v>0</v>
      </c>
      <c r="V100" s="62">
        <f t="shared" si="98"/>
        <v>0</v>
      </c>
      <c r="W100" s="69">
        <f t="shared" si="131"/>
        <v>0</v>
      </c>
      <c r="Y100" s="69"/>
      <c r="Z100" s="68">
        <f t="shared" si="133"/>
        <v>0</v>
      </c>
      <c r="AA100" s="68">
        <f t="shared" si="100"/>
        <v>0</v>
      </c>
      <c r="AB100" s="69">
        <f t="shared" si="134"/>
        <v>0</v>
      </c>
      <c r="AD100" s="69"/>
    </row>
    <row r="101" spans="1:34" ht="15" customHeight="1" outlineLevel="1" x14ac:dyDescent="0.25">
      <c r="A101" s="67"/>
      <c r="B101" s="66"/>
      <c r="C101" s="67" t="s">
        <v>154</v>
      </c>
      <c r="D101" s="68"/>
      <c r="E101" s="68">
        <v>301617.38</v>
      </c>
      <c r="F101" s="68">
        <f t="shared" si="137"/>
        <v>418962.77636988676</v>
      </c>
      <c r="G101" s="69">
        <v>18818</v>
      </c>
      <c r="H101" s="67" t="s">
        <v>42</v>
      </c>
      <c r="I101" s="68">
        <f t="shared" si="113"/>
        <v>22.263937526298584</v>
      </c>
      <c r="J101" s="69"/>
      <c r="K101" s="68">
        <f t="shared" si="138"/>
        <v>0</v>
      </c>
      <c r="L101" s="62">
        <f t="shared" si="105"/>
        <v>410057.20135936735</v>
      </c>
      <c r="M101" s="69">
        <f t="shared" si="127"/>
        <v>18418</v>
      </c>
      <c r="N101" s="70">
        <f t="shared" ref="N101" si="167">100%-(L101/$F101)</f>
        <v>2.1256244021681359E-2</v>
      </c>
      <c r="O101" s="69"/>
      <c r="P101" s="68">
        <f t="shared" si="139"/>
        <v>0</v>
      </c>
      <c r="Q101" s="62">
        <f t="shared" si="107"/>
        <v>410057.20135936735</v>
      </c>
      <c r="R101" s="69">
        <f t="shared" si="129"/>
        <v>18418</v>
      </c>
      <c r="S101" s="70">
        <f t="shared" ref="S101" si="168">100%-(Q101/$F101)</f>
        <v>2.1256244021681359E-2</v>
      </c>
      <c r="T101" s="69">
        <v>400</v>
      </c>
      <c r="U101" s="68">
        <f t="shared" si="140"/>
        <v>8905.5750105194329</v>
      </c>
      <c r="V101" s="62">
        <f t="shared" si="98"/>
        <v>410057.20135936735</v>
      </c>
      <c r="W101" s="69">
        <f t="shared" si="131"/>
        <v>18418</v>
      </c>
      <c r="X101" s="70">
        <f t="shared" ref="X101" si="169">100%-(V101/$F101)</f>
        <v>2.1256244021681359E-2</v>
      </c>
      <c r="Y101" s="69"/>
      <c r="Z101" s="68">
        <f t="shared" si="133"/>
        <v>0</v>
      </c>
      <c r="AA101" s="68">
        <f t="shared" si="100"/>
        <v>418962.77636988676</v>
      </c>
      <c r="AB101" s="69">
        <f t="shared" si="134"/>
        <v>18818</v>
      </c>
      <c r="AC101" s="70">
        <f t="shared" ref="AC101" si="170">100%-(AA101/$F101)</f>
        <v>0</v>
      </c>
      <c r="AD101" s="69"/>
      <c r="AE101" s="68">
        <f>AD101*I101</f>
        <v>0</v>
      </c>
      <c r="AF101" s="68">
        <f>F101-AE101</f>
        <v>418962.77636988676</v>
      </c>
      <c r="AG101" s="69">
        <f>G101-AD101</f>
        <v>18818</v>
      </c>
      <c r="AH101" s="70">
        <f t="shared" ref="AH101" si="171">100%-(AF101/$F101)</f>
        <v>0</v>
      </c>
    </row>
    <row r="102" spans="1:34" ht="15" customHeight="1" outlineLevel="2" x14ac:dyDescent="0.25">
      <c r="B102" s="71">
        <v>2500</v>
      </c>
      <c r="C102" s="56" t="s">
        <v>102</v>
      </c>
      <c r="E102" s="73">
        <v>22415.53</v>
      </c>
      <c r="F102" s="74">
        <f t="shared" si="137"/>
        <v>31136.377759804447</v>
      </c>
      <c r="G102" s="75">
        <v>32931.5</v>
      </c>
      <c r="H102" s="56" t="s">
        <v>43</v>
      </c>
      <c r="I102" s="73">
        <f t="shared" si="113"/>
        <v>0.94548920516236579</v>
      </c>
      <c r="J102" s="69"/>
      <c r="K102" s="68">
        <f t="shared" si="138"/>
        <v>0</v>
      </c>
      <c r="L102" s="62">
        <f t="shared" si="105"/>
        <v>0</v>
      </c>
      <c r="M102" s="69">
        <f t="shared" si="127"/>
        <v>0</v>
      </c>
      <c r="O102" s="69"/>
      <c r="P102" s="68">
        <f t="shared" si="139"/>
        <v>0</v>
      </c>
      <c r="Q102" s="62">
        <f t="shared" si="107"/>
        <v>0</v>
      </c>
      <c r="R102" s="69">
        <f t="shared" si="129"/>
        <v>0</v>
      </c>
      <c r="U102" s="68">
        <f t="shared" si="140"/>
        <v>0</v>
      </c>
      <c r="V102" s="62">
        <f t="shared" si="98"/>
        <v>0</v>
      </c>
      <c r="W102" s="69">
        <f t="shared" si="131"/>
        <v>0</v>
      </c>
      <c r="Y102" s="75">
        <f>$AD$101*B102/$G$101</f>
        <v>0</v>
      </c>
      <c r="Z102" s="68">
        <f t="shared" si="133"/>
        <v>0</v>
      </c>
      <c r="AA102" s="68">
        <f t="shared" si="100"/>
        <v>0</v>
      </c>
      <c r="AD102" s="75">
        <f>$AD$101*G102/$G$101</f>
        <v>0</v>
      </c>
    </row>
    <row r="103" spans="1:34" ht="15" customHeight="1" outlineLevel="2" collapsed="1" x14ac:dyDescent="0.25">
      <c r="B103" s="71">
        <v>2150</v>
      </c>
      <c r="C103" s="56" t="s">
        <v>38</v>
      </c>
      <c r="E103" s="73">
        <v>279201.84999999998</v>
      </c>
      <c r="F103" s="74">
        <f t="shared" si="137"/>
        <v>387826.39861008228</v>
      </c>
      <c r="G103" s="75">
        <v>32931.5</v>
      </c>
      <c r="H103" s="56" t="s">
        <v>43</v>
      </c>
      <c r="I103" s="73">
        <f t="shared" si="113"/>
        <v>11.776760809865396</v>
      </c>
      <c r="J103" s="69"/>
      <c r="K103" s="68">
        <f t="shared" si="138"/>
        <v>0</v>
      </c>
      <c r="L103" s="62">
        <f t="shared" si="105"/>
        <v>0</v>
      </c>
      <c r="M103" s="69">
        <f t="shared" si="127"/>
        <v>0</v>
      </c>
      <c r="O103" s="69"/>
      <c r="P103" s="68">
        <f t="shared" si="139"/>
        <v>0</v>
      </c>
      <c r="Q103" s="62">
        <f t="shared" si="107"/>
        <v>0</v>
      </c>
      <c r="R103" s="69">
        <f t="shared" si="129"/>
        <v>0</v>
      </c>
      <c r="U103" s="68">
        <f t="shared" si="140"/>
        <v>0</v>
      </c>
      <c r="V103" s="62">
        <f t="shared" si="98"/>
        <v>0</v>
      </c>
      <c r="W103" s="69">
        <f t="shared" si="131"/>
        <v>0</v>
      </c>
      <c r="Y103" s="75">
        <f>$AD$101*B103/$G$101</f>
        <v>0</v>
      </c>
      <c r="Z103" s="68">
        <f t="shared" si="133"/>
        <v>0</v>
      </c>
      <c r="AA103" s="68">
        <f t="shared" si="100"/>
        <v>0</v>
      </c>
      <c r="AD103" s="75">
        <f>$AD$101*G103/$G$101</f>
        <v>0</v>
      </c>
    </row>
    <row r="104" spans="1:34" ht="15" customHeight="1" outlineLevel="1" x14ac:dyDescent="0.25">
      <c r="A104" s="67"/>
      <c r="B104" s="66"/>
      <c r="C104" s="67" t="s">
        <v>155</v>
      </c>
      <c r="D104" s="68"/>
      <c r="E104" s="68">
        <v>40783.24</v>
      </c>
      <c r="F104" s="68">
        <f t="shared" si="137"/>
        <v>56650.115652352062</v>
      </c>
      <c r="G104" s="69">
        <v>439035</v>
      </c>
      <c r="H104" s="67" t="s">
        <v>41</v>
      </c>
      <c r="I104" s="68">
        <f t="shared" si="113"/>
        <v>0.12903325623777617</v>
      </c>
      <c r="J104" s="69"/>
      <c r="K104" s="68">
        <f t="shared" si="138"/>
        <v>0</v>
      </c>
      <c r="L104" s="62">
        <f t="shared" si="105"/>
        <v>56650.115652352062</v>
      </c>
      <c r="M104" s="69">
        <f t="shared" si="127"/>
        <v>439035</v>
      </c>
      <c r="N104" s="70">
        <f t="shared" ref="N104" si="172">100%-(L104/$F104)</f>
        <v>0</v>
      </c>
      <c r="O104" s="69"/>
      <c r="P104" s="68">
        <f t="shared" si="139"/>
        <v>0</v>
      </c>
      <c r="Q104" s="62">
        <f t="shared" si="107"/>
        <v>56650.115652352062</v>
      </c>
      <c r="R104" s="69">
        <f t="shared" si="129"/>
        <v>439035</v>
      </c>
      <c r="S104" s="70">
        <f t="shared" ref="S104" si="173">100%-(Q104/$F104)</f>
        <v>0</v>
      </c>
      <c r="T104" s="69"/>
      <c r="U104" s="68">
        <f t="shared" si="140"/>
        <v>0</v>
      </c>
      <c r="V104" s="62">
        <f t="shared" si="98"/>
        <v>56650.115652352062</v>
      </c>
      <c r="W104" s="69">
        <f t="shared" si="131"/>
        <v>439035</v>
      </c>
      <c r="X104" s="70">
        <f t="shared" ref="X104" si="174">100%-(V104/$F104)</f>
        <v>0</v>
      </c>
      <c r="Y104" s="69"/>
      <c r="Z104" s="68">
        <f t="shared" si="133"/>
        <v>0</v>
      </c>
      <c r="AA104" s="68">
        <f t="shared" si="100"/>
        <v>56650.115652352062</v>
      </c>
      <c r="AB104" s="69">
        <f t="shared" si="134"/>
        <v>439035</v>
      </c>
      <c r="AC104" s="70">
        <f t="shared" ref="AC104" si="175">100%-(AA104/$F104)</f>
        <v>0</v>
      </c>
      <c r="AD104" s="69"/>
      <c r="AE104" s="68">
        <f>AD104*I104</f>
        <v>0</v>
      </c>
      <c r="AF104" s="68">
        <f>F104-AE104</f>
        <v>56650.115652352062</v>
      </c>
      <c r="AG104" s="69">
        <f>G104-AD104</f>
        <v>439035</v>
      </c>
      <c r="AH104" s="70">
        <f t="shared" ref="AH104" si="176">100%-(AF104/$F104)</f>
        <v>0</v>
      </c>
    </row>
    <row r="105" spans="1:34" ht="15" customHeight="1" outlineLevel="2" x14ac:dyDescent="0.25">
      <c r="B105" s="71">
        <v>2135</v>
      </c>
      <c r="C105" s="56" t="s">
        <v>47</v>
      </c>
      <c r="E105" s="73">
        <v>39861.269999999997</v>
      </c>
      <c r="F105" s="74">
        <f t="shared" si="137"/>
        <v>55369.449694277151</v>
      </c>
      <c r="G105" s="75">
        <v>439035</v>
      </c>
      <c r="H105" s="56" t="s">
        <v>41</v>
      </c>
      <c r="I105" s="73">
        <f t="shared" si="113"/>
        <v>0.12611625427193082</v>
      </c>
      <c r="K105" s="68">
        <f>J105*I105</f>
        <v>0</v>
      </c>
      <c r="L105" s="62">
        <f t="shared" si="105"/>
        <v>0</v>
      </c>
      <c r="P105" s="68">
        <f>O105*I105</f>
        <v>0</v>
      </c>
      <c r="Q105" s="62">
        <f t="shared" si="107"/>
        <v>0</v>
      </c>
      <c r="U105" s="68">
        <f t="shared" ref="U105:U106" si="177">T105*D105</f>
        <v>0</v>
      </c>
      <c r="V105" s="62">
        <f t="shared" si="98"/>
        <v>0</v>
      </c>
      <c r="Y105" s="75">
        <f>$AD$104*B105/$G$104</f>
        <v>0</v>
      </c>
      <c r="Z105" s="68">
        <f t="shared" si="133"/>
        <v>0</v>
      </c>
      <c r="AA105" s="68">
        <f t="shared" si="100"/>
        <v>0</v>
      </c>
      <c r="AD105" s="75">
        <f>$AD$104*G105/$G$104</f>
        <v>0</v>
      </c>
    </row>
    <row r="106" spans="1:34" ht="15" customHeight="1" outlineLevel="2" x14ac:dyDescent="0.25">
      <c r="B106" s="71">
        <v>1410</v>
      </c>
      <c r="C106" s="56" t="s">
        <v>104</v>
      </c>
      <c r="E106" s="73">
        <v>921.97</v>
      </c>
      <c r="F106" s="74">
        <f t="shared" si="137"/>
        <v>1280.665958074911</v>
      </c>
      <c r="G106" s="75">
        <v>263.42</v>
      </c>
      <c r="H106" s="56" t="s">
        <v>105</v>
      </c>
      <c r="I106" s="73">
        <f t="shared" si="113"/>
        <v>4.8616883990392186</v>
      </c>
      <c r="K106" s="68">
        <f>J106*I106</f>
        <v>0</v>
      </c>
      <c r="L106" s="62">
        <f t="shared" si="105"/>
        <v>0</v>
      </c>
      <c r="P106" s="68">
        <f>O106*I106</f>
        <v>0</v>
      </c>
      <c r="Q106" s="62">
        <f t="shared" si="107"/>
        <v>0</v>
      </c>
      <c r="U106" s="68">
        <f t="shared" si="177"/>
        <v>0</v>
      </c>
      <c r="V106" s="62">
        <f t="shared" si="98"/>
        <v>0</v>
      </c>
      <c r="Y106" s="75">
        <f>$AD$104*B106/$G$104</f>
        <v>0</v>
      </c>
      <c r="Z106" s="68">
        <f t="shared" si="133"/>
        <v>0</v>
      </c>
      <c r="AA106" s="68">
        <f t="shared" si="100"/>
        <v>0</v>
      </c>
      <c r="AD106" s="75">
        <f>$AD$104*G106/$G$104</f>
        <v>0</v>
      </c>
    </row>
    <row r="107" spans="1:34" ht="15" customHeight="1" x14ac:dyDescent="0.25">
      <c r="A107" s="60">
        <v>4</v>
      </c>
      <c r="B107" s="60"/>
      <c r="C107" s="61" t="s">
        <v>33</v>
      </c>
      <c r="D107" s="62">
        <f>_xlfn.XLOOKUP(A107,SOV!$A$9:$A$27,SOV!$C$9:$C$27)</f>
        <v>1215500</v>
      </c>
      <c r="E107" s="62">
        <v>921076.22</v>
      </c>
      <c r="F107" s="62"/>
      <c r="G107" s="63"/>
      <c r="H107" s="64"/>
      <c r="I107" s="62"/>
      <c r="J107" s="63"/>
      <c r="K107" s="62">
        <f>SUM(K108,K161,K234,K315,K336,K339,K342)</f>
        <v>0</v>
      </c>
      <c r="L107" s="62">
        <f t="shared" si="105"/>
        <v>790207.64098221553</v>
      </c>
      <c r="M107" s="63"/>
      <c r="N107" s="65"/>
      <c r="O107" s="63"/>
      <c r="P107" s="62">
        <f>SUM(P108,P161,P234,P315,P336,P339,P342)</f>
        <v>49758.741556934721</v>
      </c>
      <c r="Q107" s="62">
        <f t="shared" si="107"/>
        <v>790207.64098221553</v>
      </c>
      <c r="R107" s="63"/>
      <c r="S107" s="65"/>
      <c r="T107" s="63"/>
      <c r="U107" s="62">
        <f>SUM(U108,U161,U234,U315,U336,U339,U342)</f>
        <v>141104.8667438007</v>
      </c>
      <c r="V107" s="62">
        <f t="shared" si="98"/>
        <v>839966.38253915031</v>
      </c>
      <c r="W107" s="63"/>
      <c r="X107" s="65"/>
      <c r="Y107" s="63"/>
      <c r="Z107" s="62">
        <f>SUM(Z108,Z161,Z234,Z315,Z336,Z339,Z342)</f>
        <v>207557.33854444977</v>
      </c>
      <c r="AA107" s="68">
        <f t="shared" si="100"/>
        <v>981071.249282951</v>
      </c>
      <c r="AB107" s="63"/>
      <c r="AC107" s="65"/>
      <c r="AD107" s="63"/>
      <c r="AE107" s="62">
        <f>SUM(AE108,AE161,AE234,AE315,AE336,AE339,AE342)</f>
        <v>26871.412172599572</v>
      </c>
      <c r="AF107" s="62">
        <f>SUM(AF108,AF161,AF234,AF315,AF336,AF339,AF342)</f>
        <v>1188628.5878274008</v>
      </c>
      <c r="AG107" s="63"/>
      <c r="AH107" s="65"/>
    </row>
    <row r="108" spans="1:34" ht="15" customHeight="1" outlineLevel="1" x14ac:dyDescent="0.25">
      <c r="A108" s="79"/>
      <c r="B108" s="80"/>
      <c r="C108" s="79" t="s">
        <v>156</v>
      </c>
      <c r="D108" s="81"/>
      <c r="E108" s="81">
        <v>234127.95</v>
      </c>
      <c r="F108" s="81">
        <f t="shared" ref="F108:F139" si="178">$D$107/$E$107*E108</f>
        <v>308967.39818665606</v>
      </c>
      <c r="G108" s="82"/>
      <c r="H108" s="79"/>
      <c r="I108" s="81"/>
      <c r="J108" s="82"/>
      <c r="K108" s="81">
        <f>SUM(K109,K111,K118,K125,K131,K137,K140,K143,K145,K152,K154)</f>
        <v>0</v>
      </c>
      <c r="L108" s="62">
        <f t="shared" si="105"/>
        <v>111190.40950692219</v>
      </c>
      <c r="M108" s="82"/>
      <c r="N108" s="83"/>
      <c r="O108" s="82"/>
      <c r="P108" s="81">
        <f>SUM(P109,P111,P118,P125,P131,P137,P140,P143,P145,P152,P154)</f>
        <v>0</v>
      </c>
      <c r="Q108" s="62">
        <f t="shared" si="107"/>
        <v>111190.40950692219</v>
      </c>
      <c r="R108" s="82"/>
      <c r="S108" s="83"/>
      <c r="T108" s="82"/>
      <c r="U108" s="81">
        <f>SUM(U109,U111,U118,U125,U131,U137,U140,U143,U145,U152,U154)</f>
        <v>59567.634678827759</v>
      </c>
      <c r="V108" s="62">
        <f t="shared" si="98"/>
        <v>111190.40950692219</v>
      </c>
      <c r="W108" s="82"/>
      <c r="X108" s="83"/>
      <c r="Y108" s="82"/>
      <c r="Z108" s="81">
        <f>SUM(Z109,Z111,Z118,Z125,Z131,Z137,Z140,Z143,Z145,Z152,Z154)</f>
        <v>138209.35400090611</v>
      </c>
      <c r="AA108" s="68">
        <f t="shared" si="100"/>
        <v>170758.04418574995</v>
      </c>
      <c r="AB108" s="82"/>
      <c r="AC108" s="83"/>
      <c r="AD108" s="82"/>
      <c r="AE108" s="81">
        <f>SUM(AE109,AE111,AE118,AE125,AE131,AE137,AE140,AE143,AE145,AE152,AE154)</f>
        <v>0</v>
      </c>
      <c r="AF108" s="81">
        <f>SUM(AF109,AF111,AF118,AF125,AF131,AF137,AF140,AF143,AF145,AF152,AF154)</f>
        <v>308967.39818665606</v>
      </c>
      <c r="AG108" s="82"/>
      <c r="AH108" s="83"/>
    </row>
    <row r="109" spans="1:34" ht="15" customHeight="1" outlineLevel="1" x14ac:dyDescent="0.25">
      <c r="A109" s="67"/>
      <c r="B109" s="66"/>
      <c r="C109" s="67" t="s">
        <v>157</v>
      </c>
      <c r="D109" s="68"/>
      <c r="E109" s="68">
        <v>14472.04</v>
      </c>
      <c r="F109" s="68">
        <f t="shared" si="178"/>
        <v>19098.055337917638</v>
      </c>
      <c r="G109" s="69">
        <v>1</v>
      </c>
      <c r="H109" s="67" t="s">
        <v>39</v>
      </c>
      <c r="I109" s="68">
        <f t="shared" ref="I109:I160" si="179">F109/G109</f>
        <v>19098.055337917638</v>
      </c>
      <c r="J109" s="69"/>
      <c r="K109" s="68">
        <f t="shared" ref="K109:K154" si="180">+J109*$I109</f>
        <v>0</v>
      </c>
      <c r="L109" s="62">
        <f t="shared" si="105"/>
        <v>0</v>
      </c>
      <c r="M109" s="69">
        <f>+R109-J109</f>
        <v>0</v>
      </c>
      <c r="N109" s="70">
        <f t="shared" ref="N109" si="181">100%-(L109/$F109)</f>
        <v>1</v>
      </c>
      <c r="O109" s="69"/>
      <c r="P109" s="68">
        <f t="shared" ref="P109:P154" si="182">+O109*$I109</f>
        <v>0</v>
      </c>
      <c r="Q109" s="62">
        <f t="shared" si="107"/>
        <v>0</v>
      </c>
      <c r="R109" s="69">
        <f>+W109-O109</f>
        <v>0</v>
      </c>
      <c r="S109" s="70">
        <f t="shared" ref="S109" si="183">100%-(Q109/$F109)</f>
        <v>1</v>
      </c>
      <c r="T109" s="69"/>
      <c r="U109" s="68">
        <f t="shared" ref="U109:U154" si="184">+T109*$I109</f>
        <v>0</v>
      </c>
      <c r="V109" s="62">
        <f t="shared" si="98"/>
        <v>0</v>
      </c>
      <c r="W109" s="69">
        <f>+AB109-T109</f>
        <v>0</v>
      </c>
      <c r="X109" s="70">
        <f t="shared" ref="X109" si="185">100%-(V109/$F109)</f>
        <v>1</v>
      </c>
      <c r="Y109" s="69">
        <v>1</v>
      </c>
      <c r="Z109" s="68">
        <f t="shared" ref="Z109:Z154" si="186">+Y109*I109</f>
        <v>19098.055337917638</v>
      </c>
      <c r="AA109" s="68">
        <f t="shared" si="100"/>
        <v>0</v>
      </c>
      <c r="AB109" s="69">
        <f t="shared" ref="AB109:AB172" si="187">+AG109-Y109</f>
        <v>0</v>
      </c>
      <c r="AC109" s="70">
        <f t="shared" ref="AC109" si="188">100%-(AA109/$F109)</f>
        <v>1</v>
      </c>
      <c r="AD109" s="69"/>
      <c r="AE109" s="68">
        <f>AD109*I109</f>
        <v>0</v>
      </c>
      <c r="AF109" s="68">
        <f>F109-AE109</f>
        <v>19098.055337917638</v>
      </c>
      <c r="AG109" s="69">
        <f>G109-AD109</f>
        <v>1</v>
      </c>
      <c r="AH109" s="70">
        <f t="shared" ref="AH109" si="189">100%-(AF109/$F109)</f>
        <v>0</v>
      </c>
    </row>
    <row r="110" spans="1:34" ht="15" customHeight="1" outlineLevel="2" collapsed="1" x14ac:dyDescent="0.25">
      <c r="B110" s="71">
        <v>4410</v>
      </c>
      <c r="C110" s="56" t="s">
        <v>93</v>
      </c>
      <c r="E110" s="73">
        <v>14472.04</v>
      </c>
      <c r="F110" s="74">
        <f t="shared" si="178"/>
        <v>19098.055337917638</v>
      </c>
      <c r="G110" s="75">
        <v>1</v>
      </c>
      <c r="H110" s="56" t="s">
        <v>39</v>
      </c>
      <c r="I110" s="73">
        <f t="shared" si="179"/>
        <v>19098.055337917638</v>
      </c>
      <c r="J110" s="69"/>
      <c r="K110" s="68">
        <f t="shared" si="180"/>
        <v>0</v>
      </c>
      <c r="L110" s="62">
        <f t="shared" si="105"/>
        <v>-19098.055337917638</v>
      </c>
      <c r="M110" s="69">
        <f t="shared" ref="M110:M173" si="190">+R110-J110</f>
        <v>-1</v>
      </c>
      <c r="O110" s="69"/>
      <c r="P110" s="68">
        <f t="shared" si="182"/>
        <v>0</v>
      </c>
      <c r="Q110" s="62">
        <f t="shared" si="107"/>
        <v>-19098.055337917638</v>
      </c>
      <c r="R110" s="69">
        <f t="shared" ref="R110:R173" si="191">+W110-O110</f>
        <v>-1</v>
      </c>
      <c r="U110" s="68">
        <f t="shared" si="184"/>
        <v>0</v>
      </c>
      <c r="V110" s="62">
        <f t="shared" si="98"/>
        <v>-19098.055337917638</v>
      </c>
      <c r="W110" s="69">
        <f t="shared" ref="W110:W173" si="192">+AB110-T110</f>
        <v>-1</v>
      </c>
      <c r="Y110" s="75">
        <v>1</v>
      </c>
      <c r="Z110" s="68">
        <f t="shared" si="186"/>
        <v>19098.055337917638</v>
      </c>
      <c r="AA110" s="68">
        <f t="shared" si="100"/>
        <v>-19098.055337917638</v>
      </c>
      <c r="AB110" s="69">
        <f t="shared" si="187"/>
        <v>-1</v>
      </c>
      <c r="AD110" s="75">
        <f>AD109</f>
        <v>0</v>
      </c>
    </row>
    <row r="111" spans="1:34" ht="15" customHeight="1" outlineLevel="1" x14ac:dyDescent="0.25">
      <c r="A111" s="67"/>
      <c r="B111" s="66"/>
      <c r="C111" s="67" t="s">
        <v>158</v>
      </c>
      <c r="D111" s="68"/>
      <c r="E111" s="68">
        <v>110918.55</v>
      </c>
      <c r="F111" s="68">
        <f t="shared" si="178"/>
        <v>146373.87720746934</v>
      </c>
      <c r="G111" s="69">
        <v>732</v>
      </c>
      <c r="H111" s="67" t="s">
        <v>40</v>
      </c>
      <c r="I111" s="68">
        <f t="shared" si="179"/>
        <v>199.96431312495812</v>
      </c>
      <c r="J111" s="69"/>
      <c r="K111" s="68">
        <f t="shared" si="180"/>
        <v>0</v>
      </c>
      <c r="L111" s="62">
        <f t="shared" si="105"/>
        <v>32394.218726243205</v>
      </c>
      <c r="M111" s="69">
        <f t="shared" si="190"/>
        <v>162</v>
      </c>
      <c r="N111" s="70">
        <f t="shared" ref="N111" si="193">100%-(L111/$F111)</f>
        <v>0.77868852459016402</v>
      </c>
      <c r="O111" s="69"/>
      <c r="P111" s="68">
        <f t="shared" si="182"/>
        <v>0</v>
      </c>
      <c r="Q111" s="62">
        <f t="shared" si="107"/>
        <v>32394.218726243205</v>
      </c>
      <c r="R111" s="69">
        <f t="shared" si="191"/>
        <v>162</v>
      </c>
      <c r="S111" s="70">
        <f t="shared" ref="S111" si="194">100%-(Q111/$F111)</f>
        <v>0.77868852459016402</v>
      </c>
      <c r="T111" s="69">
        <v>170</v>
      </c>
      <c r="U111" s="68">
        <f t="shared" si="184"/>
        <v>33993.933231242881</v>
      </c>
      <c r="V111" s="62">
        <f t="shared" si="98"/>
        <v>32394.218726243205</v>
      </c>
      <c r="W111" s="69">
        <f t="shared" si="192"/>
        <v>162</v>
      </c>
      <c r="X111" s="70">
        <f t="shared" ref="X111" si="195">100%-(V111/$F111)</f>
        <v>0.77868852459016402</v>
      </c>
      <c r="Y111" s="69">
        <v>400</v>
      </c>
      <c r="Z111" s="68">
        <f t="shared" si="186"/>
        <v>79985.725249983254</v>
      </c>
      <c r="AA111" s="68">
        <f t="shared" si="100"/>
        <v>66388.151957486087</v>
      </c>
      <c r="AB111" s="69">
        <f t="shared" si="187"/>
        <v>332</v>
      </c>
      <c r="AC111" s="70">
        <f t="shared" ref="AC111" si="196">100%-(AA111/$F111)</f>
        <v>0.54644808743169404</v>
      </c>
      <c r="AD111" s="69"/>
      <c r="AE111" s="68">
        <f>AD111*I111</f>
        <v>0</v>
      </c>
      <c r="AF111" s="68">
        <f>F111-AE111</f>
        <v>146373.87720746934</v>
      </c>
      <c r="AG111" s="69">
        <f>G111-AD111</f>
        <v>732</v>
      </c>
      <c r="AH111" s="70">
        <f t="shared" ref="AH111" si="197">100%-(AF111/$F111)</f>
        <v>0</v>
      </c>
    </row>
    <row r="112" spans="1:34" ht="15" customHeight="1" outlineLevel="2" x14ac:dyDescent="0.25">
      <c r="B112" s="71">
        <v>4006</v>
      </c>
      <c r="C112" s="56" t="s">
        <v>54</v>
      </c>
      <c r="E112" s="73">
        <v>98623.54</v>
      </c>
      <c r="F112" s="74">
        <f t="shared" si="178"/>
        <v>130148.74368377461</v>
      </c>
      <c r="G112" s="75">
        <v>732</v>
      </c>
      <c r="H112" s="56" t="s">
        <v>40</v>
      </c>
      <c r="I112" s="73">
        <f t="shared" si="179"/>
        <v>177.79883016909099</v>
      </c>
      <c r="J112" s="69"/>
      <c r="K112" s="68">
        <f t="shared" si="180"/>
        <v>0</v>
      </c>
      <c r="L112" s="62">
        <f t="shared" si="105"/>
        <v>-130148.74368377461</v>
      </c>
      <c r="M112" s="69">
        <f t="shared" si="190"/>
        <v>-732</v>
      </c>
      <c r="O112" s="69"/>
      <c r="P112" s="68">
        <f t="shared" si="182"/>
        <v>0</v>
      </c>
      <c r="Q112" s="62">
        <f t="shared" si="107"/>
        <v>-130148.74368377461</v>
      </c>
      <c r="R112" s="69">
        <f t="shared" si="191"/>
        <v>-732</v>
      </c>
      <c r="U112" s="68">
        <f t="shared" si="184"/>
        <v>0</v>
      </c>
      <c r="V112" s="62">
        <f t="shared" si="98"/>
        <v>-130148.74368377461</v>
      </c>
      <c r="W112" s="69">
        <f t="shared" si="192"/>
        <v>-732</v>
      </c>
      <c r="Y112" s="75">
        <v>732</v>
      </c>
      <c r="Z112" s="68">
        <f t="shared" si="186"/>
        <v>130148.74368377461</v>
      </c>
      <c r="AA112" s="68">
        <f t="shared" si="100"/>
        <v>-130148.74368377461</v>
      </c>
      <c r="AB112" s="69">
        <f t="shared" si="187"/>
        <v>-732</v>
      </c>
      <c r="AD112" s="75">
        <f t="shared" ref="AD112:AD117" si="198">$AD$111*G112/$G$111</f>
        <v>0</v>
      </c>
    </row>
    <row r="113" spans="1:34" ht="15" customHeight="1" outlineLevel="2" x14ac:dyDescent="0.25">
      <c r="B113" s="71">
        <v>2185</v>
      </c>
      <c r="C113" s="56" t="s">
        <v>51</v>
      </c>
      <c r="E113" s="73">
        <v>6297.78</v>
      </c>
      <c r="F113" s="74">
        <f t="shared" si="178"/>
        <v>8310.8774537681584</v>
      </c>
      <c r="G113" s="75">
        <v>318.87</v>
      </c>
      <c r="H113" s="56" t="s">
        <v>43</v>
      </c>
      <c r="I113" s="73">
        <f t="shared" si="179"/>
        <v>26.063528879380808</v>
      </c>
      <c r="J113" s="69"/>
      <c r="K113" s="68">
        <f t="shared" si="180"/>
        <v>0</v>
      </c>
      <c r="L113" s="62">
        <f t="shared" si="105"/>
        <v>-8310.8774537681584</v>
      </c>
      <c r="M113" s="69">
        <f t="shared" si="190"/>
        <v>-318.87</v>
      </c>
      <c r="O113" s="69"/>
      <c r="P113" s="68">
        <f t="shared" si="182"/>
        <v>0</v>
      </c>
      <c r="Q113" s="62">
        <f t="shared" si="107"/>
        <v>-8310.8774537681584</v>
      </c>
      <c r="R113" s="69">
        <f t="shared" si="191"/>
        <v>-318.87</v>
      </c>
      <c r="U113" s="68">
        <f t="shared" si="184"/>
        <v>0</v>
      </c>
      <c r="V113" s="62">
        <f t="shared" si="98"/>
        <v>-8310.8774537681584</v>
      </c>
      <c r="W113" s="69">
        <f t="shared" si="192"/>
        <v>-318.87</v>
      </c>
      <c r="Y113" s="75">
        <v>318.87</v>
      </c>
      <c r="Z113" s="68">
        <f t="shared" si="186"/>
        <v>8310.8774537681584</v>
      </c>
      <c r="AA113" s="68">
        <f t="shared" si="100"/>
        <v>-8310.8774537681584</v>
      </c>
      <c r="AB113" s="69">
        <f t="shared" si="187"/>
        <v>-318.87</v>
      </c>
      <c r="AD113" s="75">
        <f t="shared" si="198"/>
        <v>0</v>
      </c>
    </row>
    <row r="114" spans="1:34" ht="15" customHeight="1" outlineLevel="2" x14ac:dyDescent="0.25">
      <c r="B114" s="71">
        <v>2149</v>
      </c>
      <c r="C114" s="56" t="s">
        <v>48</v>
      </c>
      <c r="E114" s="73">
        <v>2703.37</v>
      </c>
      <c r="F114" s="74">
        <f t="shared" si="178"/>
        <v>3567.5074045446531</v>
      </c>
      <c r="G114" s="75">
        <v>318.86</v>
      </c>
      <c r="H114" s="56" t="s">
        <v>43</v>
      </c>
      <c r="I114" s="73">
        <f t="shared" si="179"/>
        <v>11.188319025731207</v>
      </c>
      <c r="J114" s="69"/>
      <c r="K114" s="68">
        <f t="shared" si="180"/>
        <v>0</v>
      </c>
      <c r="L114" s="62">
        <f t="shared" si="105"/>
        <v>-3567.5074045446531</v>
      </c>
      <c r="M114" s="69">
        <f t="shared" si="190"/>
        <v>-318.86</v>
      </c>
      <c r="O114" s="69"/>
      <c r="P114" s="68">
        <f t="shared" si="182"/>
        <v>0</v>
      </c>
      <c r="Q114" s="62">
        <f t="shared" si="107"/>
        <v>-3567.5074045446531</v>
      </c>
      <c r="R114" s="69">
        <f t="shared" si="191"/>
        <v>-318.86</v>
      </c>
      <c r="U114" s="68">
        <f t="shared" si="184"/>
        <v>0</v>
      </c>
      <c r="V114" s="62">
        <f t="shared" si="98"/>
        <v>-3567.5074045446531</v>
      </c>
      <c r="W114" s="69">
        <f t="shared" si="192"/>
        <v>-318.86</v>
      </c>
      <c r="Y114" s="75">
        <v>318.86</v>
      </c>
      <c r="Z114" s="68">
        <f t="shared" si="186"/>
        <v>3567.5074045446531</v>
      </c>
      <c r="AA114" s="68">
        <f t="shared" si="100"/>
        <v>-3567.5074045446531</v>
      </c>
      <c r="AB114" s="69">
        <f t="shared" si="187"/>
        <v>-318.86</v>
      </c>
      <c r="AD114" s="75">
        <f t="shared" si="198"/>
        <v>0</v>
      </c>
    </row>
    <row r="115" spans="1:34" ht="15" customHeight="1" outlineLevel="2" x14ac:dyDescent="0.25">
      <c r="B115" s="71">
        <v>4490</v>
      </c>
      <c r="C115" s="56" t="s">
        <v>159</v>
      </c>
      <c r="E115" s="73">
        <v>570.96</v>
      </c>
      <c r="F115" s="74">
        <f t="shared" si="178"/>
        <v>753.46845888606265</v>
      </c>
      <c r="G115" s="75">
        <v>732</v>
      </c>
      <c r="H115" s="56" t="s">
        <v>40</v>
      </c>
      <c r="I115" s="73">
        <f t="shared" si="179"/>
        <v>1.0293284957459872</v>
      </c>
      <c r="J115" s="69"/>
      <c r="K115" s="68">
        <f t="shared" si="180"/>
        <v>0</v>
      </c>
      <c r="L115" s="62">
        <f t="shared" si="105"/>
        <v>-753.46845888606265</v>
      </c>
      <c r="M115" s="69">
        <f t="shared" si="190"/>
        <v>-732</v>
      </c>
      <c r="O115" s="69"/>
      <c r="P115" s="68">
        <f t="shared" si="182"/>
        <v>0</v>
      </c>
      <c r="Q115" s="62">
        <f t="shared" si="107"/>
        <v>-753.46845888606265</v>
      </c>
      <c r="R115" s="69">
        <f t="shared" si="191"/>
        <v>-732</v>
      </c>
      <c r="U115" s="68">
        <f t="shared" si="184"/>
        <v>0</v>
      </c>
      <c r="V115" s="62">
        <f t="shared" si="98"/>
        <v>-753.46845888606265</v>
      </c>
      <c r="W115" s="69">
        <f t="shared" si="192"/>
        <v>-732</v>
      </c>
      <c r="Y115" s="75">
        <v>732</v>
      </c>
      <c r="Z115" s="68">
        <f t="shared" si="186"/>
        <v>753.46845888606265</v>
      </c>
      <c r="AA115" s="68">
        <f t="shared" si="100"/>
        <v>-753.46845888606265</v>
      </c>
      <c r="AB115" s="69">
        <f t="shared" si="187"/>
        <v>-732</v>
      </c>
      <c r="AD115" s="75">
        <f t="shared" si="198"/>
        <v>0</v>
      </c>
    </row>
    <row r="116" spans="1:34" ht="15" customHeight="1" outlineLevel="2" x14ac:dyDescent="0.25">
      <c r="B116" s="71">
        <v>2150</v>
      </c>
      <c r="C116" s="56" t="s">
        <v>38</v>
      </c>
      <c r="E116" s="73">
        <v>2011.23</v>
      </c>
      <c r="F116" s="74">
        <f t="shared" si="178"/>
        <v>2654.1235262810283</v>
      </c>
      <c r="G116" s="75">
        <v>237.22</v>
      </c>
      <c r="H116" s="56" t="s">
        <v>43</v>
      </c>
      <c r="I116" s="73">
        <f t="shared" si="179"/>
        <v>11.18844754355041</v>
      </c>
      <c r="J116" s="69"/>
      <c r="K116" s="68">
        <f t="shared" si="180"/>
        <v>0</v>
      </c>
      <c r="L116" s="62">
        <f t="shared" si="105"/>
        <v>-2654.1235262810283</v>
      </c>
      <c r="M116" s="69">
        <f t="shared" si="190"/>
        <v>-237.22</v>
      </c>
      <c r="O116" s="69"/>
      <c r="P116" s="68">
        <f t="shared" si="182"/>
        <v>0</v>
      </c>
      <c r="Q116" s="62">
        <f t="shared" si="107"/>
        <v>-2654.1235262810283</v>
      </c>
      <c r="R116" s="69">
        <f t="shared" si="191"/>
        <v>-237.22</v>
      </c>
      <c r="U116" s="68">
        <f t="shared" si="184"/>
        <v>0</v>
      </c>
      <c r="V116" s="62">
        <f t="shared" si="98"/>
        <v>-2654.1235262810283</v>
      </c>
      <c r="W116" s="69">
        <f t="shared" si="192"/>
        <v>-237.22</v>
      </c>
      <c r="Y116" s="75">
        <v>237.22</v>
      </c>
      <c r="Z116" s="68">
        <f t="shared" si="186"/>
        <v>2654.1235262810283</v>
      </c>
      <c r="AA116" s="68">
        <f t="shared" si="100"/>
        <v>-2654.1235262810283</v>
      </c>
      <c r="AB116" s="69">
        <f t="shared" si="187"/>
        <v>-237.22</v>
      </c>
      <c r="AD116" s="75">
        <f t="shared" si="198"/>
        <v>0</v>
      </c>
    </row>
    <row r="117" spans="1:34" ht="15" customHeight="1" outlineLevel="2" x14ac:dyDescent="0.25">
      <c r="B117" s="71">
        <v>2490</v>
      </c>
      <c r="C117" s="56" t="s">
        <v>37</v>
      </c>
      <c r="E117" s="73">
        <v>711.67</v>
      </c>
      <c r="F117" s="74">
        <f t="shared" si="178"/>
        <v>939.15668021480349</v>
      </c>
      <c r="G117" s="75">
        <v>237.22</v>
      </c>
      <c r="H117" s="56" t="s">
        <v>43</v>
      </c>
      <c r="I117" s="73">
        <f t="shared" si="179"/>
        <v>3.9590113827451456</v>
      </c>
      <c r="J117" s="69"/>
      <c r="K117" s="68">
        <f t="shared" si="180"/>
        <v>0</v>
      </c>
      <c r="L117" s="62">
        <f t="shared" si="105"/>
        <v>-939.15668021480349</v>
      </c>
      <c r="M117" s="69">
        <f t="shared" si="190"/>
        <v>-237.22</v>
      </c>
      <c r="O117" s="69"/>
      <c r="P117" s="68">
        <f t="shared" si="182"/>
        <v>0</v>
      </c>
      <c r="Q117" s="62">
        <f t="shared" si="107"/>
        <v>-939.15668021480349</v>
      </c>
      <c r="R117" s="69">
        <f t="shared" si="191"/>
        <v>-237.22</v>
      </c>
      <c r="U117" s="68">
        <f t="shared" si="184"/>
        <v>0</v>
      </c>
      <c r="V117" s="62">
        <f t="shared" si="98"/>
        <v>-939.15668021480349</v>
      </c>
      <c r="W117" s="69">
        <f t="shared" si="192"/>
        <v>-237.22</v>
      </c>
      <c r="Y117" s="75">
        <v>237.22</v>
      </c>
      <c r="Z117" s="68">
        <f t="shared" si="186"/>
        <v>939.15668021480349</v>
      </c>
      <c r="AA117" s="68">
        <f t="shared" si="100"/>
        <v>-939.15668021480349</v>
      </c>
      <c r="AB117" s="69">
        <f t="shared" si="187"/>
        <v>-237.22</v>
      </c>
      <c r="AD117" s="75">
        <f t="shared" si="198"/>
        <v>0</v>
      </c>
    </row>
    <row r="118" spans="1:34" ht="15" customHeight="1" outlineLevel="1" x14ac:dyDescent="0.25">
      <c r="A118" s="67"/>
      <c r="B118" s="66"/>
      <c r="C118" s="67" t="s">
        <v>160</v>
      </c>
      <c r="D118" s="68"/>
      <c r="E118" s="68">
        <v>23177.34</v>
      </c>
      <c r="F118" s="68">
        <f t="shared" si="178"/>
        <v>30586.021176401668</v>
      </c>
      <c r="G118" s="69">
        <v>298</v>
      </c>
      <c r="H118" s="67" t="s">
        <v>40</v>
      </c>
      <c r="I118" s="68">
        <f t="shared" si="179"/>
        <v>102.63765495436802</v>
      </c>
      <c r="J118" s="69"/>
      <c r="K118" s="68">
        <f t="shared" si="180"/>
        <v>0</v>
      </c>
      <c r="L118" s="62">
        <f t="shared" si="105"/>
        <v>30586.021176401668</v>
      </c>
      <c r="M118" s="69">
        <f t="shared" si="190"/>
        <v>298</v>
      </c>
      <c r="N118" s="70">
        <f t="shared" ref="N118" si="199">100%-(L118/$F118)</f>
        <v>0</v>
      </c>
      <c r="O118" s="69"/>
      <c r="P118" s="68">
        <f t="shared" si="182"/>
        <v>0</v>
      </c>
      <c r="Q118" s="62">
        <f t="shared" si="107"/>
        <v>30586.021176401668</v>
      </c>
      <c r="R118" s="69">
        <f t="shared" si="191"/>
        <v>298</v>
      </c>
      <c r="S118" s="70">
        <f t="shared" ref="S118" si="200">100%-(Q118/$F118)</f>
        <v>0</v>
      </c>
      <c r="T118" s="69"/>
      <c r="U118" s="68">
        <f t="shared" si="184"/>
        <v>0</v>
      </c>
      <c r="V118" s="62">
        <f t="shared" si="98"/>
        <v>30586.021176401668</v>
      </c>
      <c r="W118" s="69">
        <f t="shared" si="192"/>
        <v>298</v>
      </c>
      <c r="X118" s="70">
        <f t="shared" ref="X118" si="201">100%-(V118/$F118)</f>
        <v>0</v>
      </c>
      <c r="Y118" s="69"/>
      <c r="Z118" s="68">
        <f t="shared" si="186"/>
        <v>0</v>
      </c>
      <c r="AA118" s="68">
        <f t="shared" si="100"/>
        <v>30586.021176401668</v>
      </c>
      <c r="AB118" s="69">
        <f t="shared" si="187"/>
        <v>298</v>
      </c>
      <c r="AC118" s="70">
        <f t="shared" ref="AC118" si="202">100%-(AA118/$F118)</f>
        <v>0</v>
      </c>
      <c r="AD118" s="69"/>
      <c r="AE118" s="68">
        <f>AD118*I118</f>
        <v>0</v>
      </c>
      <c r="AF118" s="68">
        <f>F118-AE118</f>
        <v>30586.021176401668</v>
      </c>
      <c r="AG118" s="69">
        <f>G118-AD118</f>
        <v>298</v>
      </c>
      <c r="AH118" s="70">
        <f t="shared" ref="AH118" si="203">100%-(AF118/$F118)</f>
        <v>0</v>
      </c>
    </row>
    <row r="119" spans="1:34" ht="15" customHeight="1" outlineLevel="2" x14ac:dyDescent="0.25">
      <c r="B119" s="71">
        <v>4404</v>
      </c>
      <c r="C119" s="56" t="s">
        <v>95</v>
      </c>
      <c r="E119" s="73">
        <v>18749.599999999999</v>
      </c>
      <c r="F119" s="74">
        <f t="shared" si="178"/>
        <v>24742.945594665332</v>
      </c>
      <c r="G119" s="75">
        <v>298</v>
      </c>
      <c r="H119" s="56" t="s">
        <v>40</v>
      </c>
      <c r="I119" s="73">
        <f t="shared" si="179"/>
        <v>83.030018774044734</v>
      </c>
      <c r="J119" s="69"/>
      <c r="K119" s="68">
        <f t="shared" si="180"/>
        <v>0</v>
      </c>
      <c r="L119" s="62">
        <f t="shared" si="105"/>
        <v>-24742.945594665332</v>
      </c>
      <c r="M119" s="69">
        <f t="shared" si="190"/>
        <v>-298</v>
      </c>
      <c r="O119" s="69"/>
      <c r="P119" s="68">
        <f t="shared" si="182"/>
        <v>0</v>
      </c>
      <c r="Q119" s="62">
        <f t="shared" si="107"/>
        <v>-24742.945594665332</v>
      </c>
      <c r="R119" s="69">
        <f t="shared" si="191"/>
        <v>-298</v>
      </c>
      <c r="U119" s="68">
        <f t="shared" si="184"/>
        <v>0</v>
      </c>
      <c r="V119" s="62">
        <f t="shared" si="98"/>
        <v>-24742.945594665332</v>
      </c>
      <c r="W119" s="69">
        <f t="shared" si="192"/>
        <v>-298</v>
      </c>
      <c r="Y119" s="75">
        <v>298</v>
      </c>
      <c r="Z119" s="68">
        <f t="shared" si="186"/>
        <v>24742.945594665332</v>
      </c>
      <c r="AA119" s="68">
        <f t="shared" si="100"/>
        <v>-24742.945594665332</v>
      </c>
      <c r="AB119" s="69">
        <f t="shared" si="187"/>
        <v>-298</v>
      </c>
      <c r="AD119" s="75">
        <f t="shared" ref="AD119:AD124" si="204">$AD$118*G119/$G$118</f>
        <v>0</v>
      </c>
    </row>
    <row r="120" spans="1:34" ht="15" customHeight="1" outlineLevel="2" x14ac:dyDescent="0.25">
      <c r="B120" s="71">
        <v>2185</v>
      </c>
      <c r="C120" s="56" t="s">
        <v>51</v>
      </c>
      <c r="E120" s="73">
        <v>2271.71</v>
      </c>
      <c r="F120" s="74">
        <f t="shared" si="178"/>
        <v>2997.8664577834829</v>
      </c>
      <c r="G120" s="75">
        <v>115.02</v>
      </c>
      <c r="H120" s="56" t="s">
        <v>43</v>
      </c>
      <c r="I120" s="73">
        <f t="shared" si="179"/>
        <v>26.063871133572274</v>
      </c>
      <c r="J120" s="69"/>
      <c r="K120" s="68">
        <f t="shared" si="180"/>
        <v>0</v>
      </c>
      <c r="L120" s="62">
        <f t="shared" si="105"/>
        <v>-2997.8664577834829</v>
      </c>
      <c r="M120" s="69">
        <f t="shared" si="190"/>
        <v>-115.02</v>
      </c>
      <c r="O120" s="69"/>
      <c r="P120" s="68">
        <f t="shared" si="182"/>
        <v>0</v>
      </c>
      <c r="Q120" s="62">
        <f t="shared" si="107"/>
        <v>-2997.8664577834829</v>
      </c>
      <c r="R120" s="69">
        <f t="shared" si="191"/>
        <v>-115.02</v>
      </c>
      <c r="U120" s="68">
        <f t="shared" si="184"/>
        <v>0</v>
      </c>
      <c r="V120" s="62">
        <f t="shared" si="98"/>
        <v>-2997.8664577834829</v>
      </c>
      <c r="W120" s="69">
        <f t="shared" si="192"/>
        <v>-115.02</v>
      </c>
      <c r="Y120" s="75">
        <v>115.02</v>
      </c>
      <c r="Z120" s="68">
        <f t="shared" si="186"/>
        <v>2997.8664577834829</v>
      </c>
      <c r="AA120" s="68">
        <f t="shared" si="100"/>
        <v>-2997.8664577834829</v>
      </c>
      <c r="AB120" s="69">
        <f t="shared" si="187"/>
        <v>-115.02</v>
      </c>
      <c r="AD120" s="75">
        <f t="shared" si="204"/>
        <v>0</v>
      </c>
    </row>
    <row r="121" spans="1:34" ht="15" customHeight="1" outlineLevel="2" x14ac:dyDescent="0.25">
      <c r="B121" s="71">
        <v>2185</v>
      </c>
      <c r="C121" s="56" t="s">
        <v>48</v>
      </c>
      <c r="E121" s="73">
        <v>975.2</v>
      </c>
      <c r="F121" s="74">
        <f t="shared" si="178"/>
        <v>1286.9245500660088</v>
      </c>
      <c r="G121" s="75">
        <v>115.02</v>
      </c>
      <c r="H121" s="56" t="s">
        <v>43</v>
      </c>
      <c r="I121" s="73">
        <f t="shared" si="179"/>
        <v>11.188702400156572</v>
      </c>
      <c r="J121" s="69"/>
      <c r="K121" s="68">
        <f t="shared" si="180"/>
        <v>0</v>
      </c>
      <c r="L121" s="62">
        <f t="shared" si="105"/>
        <v>-1286.9245500660088</v>
      </c>
      <c r="M121" s="69">
        <f t="shared" si="190"/>
        <v>-115.02</v>
      </c>
      <c r="O121" s="69"/>
      <c r="P121" s="68">
        <f t="shared" si="182"/>
        <v>0</v>
      </c>
      <c r="Q121" s="62">
        <f t="shared" si="107"/>
        <v>-1286.9245500660088</v>
      </c>
      <c r="R121" s="69">
        <f t="shared" si="191"/>
        <v>-115.02</v>
      </c>
      <c r="U121" s="68">
        <f t="shared" si="184"/>
        <v>0</v>
      </c>
      <c r="V121" s="62">
        <f t="shared" si="98"/>
        <v>-1286.9245500660088</v>
      </c>
      <c r="W121" s="69">
        <f t="shared" si="192"/>
        <v>-115.02</v>
      </c>
      <c r="Y121" s="75">
        <v>115.02</v>
      </c>
      <c r="Z121" s="68">
        <f t="shared" si="186"/>
        <v>1286.9245500660088</v>
      </c>
      <c r="AA121" s="68">
        <f t="shared" si="100"/>
        <v>-1286.9245500660088</v>
      </c>
      <c r="AB121" s="69">
        <f t="shared" si="187"/>
        <v>-115.02</v>
      </c>
      <c r="AD121" s="75">
        <f t="shared" si="204"/>
        <v>0</v>
      </c>
    </row>
    <row r="122" spans="1:34" ht="15" customHeight="1" outlineLevel="2" collapsed="1" x14ac:dyDescent="0.25">
      <c r="B122" s="71">
        <v>4490</v>
      </c>
      <c r="C122" s="56" t="s">
        <v>55</v>
      </c>
      <c r="E122" s="73">
        <v>232.44</v>
      </c>
      <c r="F122" s="74">
        <f t="shared" si="178"/>
        <v>306.73989173230422</v>
      </c>
      <c r="G122" s="75">
        <v>298</v>
      </c>
      <c r="H122" s="56" t="s">
        <v>40</v>
      </c>
      <c r="I122" s="73">
        <f t="shared" si="179"/>
        <v>1.0293284957459874</v>
      </c>
      <c r="J122" s="69"/>
      <c r="K122" s="68">
        <f t="shared" si="180"/>
        <v>0</v>
      </c>
      <c r="L122" s="62">
        <f t="shared" si="105"/>
        <v>-306.73989173230422</v>
      </c>
      <c r="M122" s="69">
        <f t="shared" si="190"/>
        <v>-298</v>
      </c>
      <c r="O122" s="69"/>
      <c r="P122" s="68">
        <f t="shared" si="182"/>
        <v>0</v>
      </c>
      <c r="Q122" s="62">
        <f t="shared" si="107"/>
        <v>-306.73989173230422</v>
      </c>
      <c r="R122" s="69">
        <f t="shared" si="191"/>
        <v>-298</v>
      </c>
      <c r="U122" s="68">
        <f t="shared" si="184"/>
        <v>0</v>
      </c>
      <c r="V122" s="62">
        <f t="shared" si="98"/>
        <v>-306.73989173230422</v>
      </c>
      <c r="W122" s="69">
        <f t="shared" si="192"/>
        <v>-298</v>
      </c>
      <c r="Y122" s="75">
        <v>298</v>
      </c>
      <c r="Z122" s="68">
        <f t="shared" si="186"/>
        <v>306.73989173230422</v>
      </c>
      <c r="AA122" s="68">
        <f t="shared" si="100"/>
        <v>-306.73989173230422</v>
      </c>
      <c r="AB122" s="69">
        <f t="shared" si="187"/>
        <v>-298</v>
      </c>
      <c r="AD122" s="75">
        <f t="shared" si="204"/>
        <v>0</v>
      </c>
    </row>
    <row r="123" spans="1:34" ht="15" customHeight="1" outlineLevel="2" x14ac:dyDescent="0.25">
      <c r="B123" s="71">
        <v>2150</v>
      </c>
      <c r="C123" s="56" t="s">
        <v>38</v>
      </c>
      <c r="E123" s="73">
        <v>700.51</v>
      </c>
      <c r="F123" s="74">
        <f t="shared" si="178"/>
        <v>924.42936481413017</v>
      </c>
      <c r="G123" s="75">
        <v>82.62</v>
      </c>
      <c r="H123" s="56" t="s">
        <v>43</v>
      </c>
      <c r="I123" s="73">
        <f t="shared" si="179"/>
        <v>11.188929615276328</v>
      </c>
      <c r="J123" s="69"/>
      <c r="K123" s="68">
        <f t="shared" si="180"/>
        <v>0</v>
      </c>
      <c r="L123" s="62">
        <f t="shared" si="105"/>
        <v>-924.42936481413028</v>
      </c>
      <c r="M123" s="69">
        <f t="shared" si="190"/>
        <v>-82.62</v>
      </c>
      <c r="O123" s="69"/>
      <c r="P123" s="68">
        <f t="shared" si="182"/>
        <v>0</v>
      </c>
      <c r="Q123" s="62">
        <f t="shared" si="107"/>
        <v>-924.42936481413028</v>
      </c>
      <c r="R123" s="69">
        <f t="shared" si="191"/>
        <v>-82.62</v>
      </c>
      <c r="U123" s="68">
        <f t="shared" si="184"/>
        <v>0</v>
      </c>
      <c r="V123" s="62">
        <f t="shared" si="98"/>
        <v>-924.42936481413028</v>
      </c>
      <c r="W123" s="69">
        <f t="shared" si="192"/>
        <v>-82.62</v>
      </c>
      <c r="Y123" s="75">
        <v>82.62</v>
      </c>
      <c r="Z123" s="68">
        <f t="shared" si="186"/>
        <v>924.42936481413028</v>
      </c>
      <c r="AA123" s="68">
        <f t="shared" si="100"/>
        <v>-924.42936481413028</v>
      </c>
      <c r="AB123" s="69">
        <f t="shared" si="187"/>
        <v>-82.62</v>
      </c>
      <c r="AD123" s="75">
        <f t="shared" si="204"/>
        <v>0</v>
      </c>
    </row>
    <row r="124" spans="1:34" ht="15" customHeight="1" outlineLevel="2" collapsed="1" x14ac:dyDescent="0.25">
      <c r="B124" s="71">
        <v>2490</v>
      </c>
      <c r="C124" s="56" t="s">
        <v>37</v>
      </c>
      <c r="E124" s="73">
        <v>247.87</v>
      </c>
      <c r="F124" s="74">
        <f t="shared" si="178"/>
        <v>327.10212082122803</v>
      </c>
      <c r="G124" s="75">
        <v>82.62</v>
      </c>
      <c r="H124" s="56" t="s">
        <v>43</v>
      </c>
      <c r="I124" s="73">
        <f t="shared" si="179"/>
        <v>3.9591154783494069</v>
      </c>
      <c r="J124" s="69"/>
      <c r="K124" s="68">
        <f t="shared" si="180"/>
        <v>0</v>
      </c>
      <c r="L124" s="62">
        <f t="shared" si="105"/>
        <v>-327.10212082122803</v>
      </c>
      <c r="M124" s="69">
        <f t="shared" si="190"/>
        <v>-82.62</v>
      </c>
      <c r="O124" s="69"/>
      <c r="P124" s="68">
        <f t="shared" si="182"/>
        <v>0</v>
      </c>
      <c r="Q124" s="62">
        <f t="shared" si="107"/>
        <v>-327.10212082122803</v>
      </c>
      <c r="R124" s="69">
        <f t="shared" si="191"/>
        <v>-82.62</v>
      </c>
      <c r="U124" s="68">
        <f t="shared" si="184"/>
        <v>0</v>
      </c>
      <c r="V124" s="62">
        <f t="shared" si="98"/>
        <v>-327.10212082122803</v>
      </c>
      <c r="W124" s="69">
        <f t="shared" si="192"/>
        <v>-82.62</v>
      </c>
      <c r="Y124" s="75">
        <v>82.62</v>
      </c>
      <c r="Z124" s="68">
        <f t="shared" si="186"/>
        <v>327.10212082122803</v>
      </c>
      <c r="AA124" s="68">
        <f t="shared" si="100"/>
        <v>-327.10212082122803</v>
      </c>
      <c r="AB124" s="69">
        <f t="shared" si="187"/>
        <v>-82.62</v>
      </c>
      <c r="AD124" s="75">
        <f t="shared" si="204"/>
        <v>0</v>
      </c>
    </row>
    <row r="125" spans="1:34" ht="15" customHeight="1" outlineLevel="1" x14ac:dyDescent="0.25">
      <c r="A125" s="67"/>
      <c r="B125" s="66"/>
      <c r="C125" s="67" t="s">
        <v>161</v>
      </c>
      <c r="D125" s="68"/>
      <c r="E125" s="68">
        <v>10584.25</v>
      </c>
      <c r="F125" s="68">
        <f t="shared" si="178"/>
        <v>13967.525809101879</v>
      </c>
      <c r="G125" s="69">
        <v>12</v>
      </c>
      <c r="H125" s="67" t="s">
        <v>39</v>
      </c>
      <c r="I125" s="68">
        <f t="shared" si="179"/>
        <v>1163.9604840918232</v>
      </c>
      <c r="J125" s="69"/>
      <c r="K125" s="68">
        <f t="shared" si="180"/>
        <v>0</v>
      </c>
      <c r="L125" s="62">
        <f t="shared" si="105"/>
        <v>8147.7233886427639</v>
      </c>
      <c r="M125" s="69">
        <f t="shared" si="190"/>
        <v>7</v>
      </c>
      <c r="N125" s="70">
        <f t="shared" ref="N125" si="205">100%-(L125/$F125)</f>
        <v>0.41666666666666652</v>
      </c>
      <c r="O125" s="69"/>
      <c r="P125" s="68">
        <f t="shared" si="182"/>
        <v>0</v>
      </c>
      <c r="Q125" s="62">
        <f t="shared" si="107"/>
        <v>8147.7233886427639</v>
      </c>
      <c r="R125" s="69">
        <f t="shared" si="191"/>
        <v>7</v>
      </c>
      <c r="S125" s="70">
        <f t="shared" ref="S125" si="206">100%-(Q125/$F125)</f>
        <v>0.41666666666666652</v>
      </c>
      <c r="T125" s="69">
        <v>3</v>
      </c>
      <c r="U125" s="68">
        <f t="shared" si="184"/>
        <v>3491.8814522754697</v>
      </c>
      <c r="V125" s="62">
        <f t="shared" si="98"/>
        <v>8147.7233886427639</v>
      </c>
      <c r="W125" s="69">
        <f t="shared" si="192"/>
        <v>7</v>
      </c>
      <c r="X125" s="70">
        <f t="shared" ref="X125" si="207">100%-(V125/$F125)</f>
        <v>0.41666666666666652</v>
      </c>
      <c r="Y125" s="69">
        <v>2</v>
      </c>
      <c r="Z125" s="68">
        <f t="shared" si="186"/>
        <v>2327.9209681836464</v>
      </c>
      <c r="AA125" s="68">
        <f t="shared" si="100"/>
        <v>11639.604840918233</v>
      </c>
      <c r="AB125" s="69">
        <f t="shared" si="187"/>
        <v>10</v>
      </c>
      <c r="AC125" s="70">
        <f t="shared" ref="AC125" si="208">100%-(AA125/$F125)</f>
        <v>0.16666666666666663</v>
      </c>
      <c r="AD125" s="69"/>
      <c r="AE125" s="68">
        <f>AD125*I125</f>
        <v>0</v>
      </c>
      <c r="AF125" s="68">
        <f>F125-AE125</f>
        <v>13967.525809101879</v>
      </c>
      <c r="AG125" s="69">
        <f>G125-AD125</f>
        <v>12</v>
      </c>
      <c r="AH125" s="70">
        <f t="shared" ref="AH125" si="209">100%-(AF125/$F125)</f>
        <v>0</v>
      </c>
    </row>
    <row r="126" spans="1:34" ht="15" customHeight="1" outlineLevel="2" collapsed="1" x14ac:dyDescent="0.25">
      <c r="B126" s="71">
        <v>4410</v>
      </c>
      <c r="C126" s="56" t="s">
        <v>93</v>
      </c>
      <c r="E126" s="73">
        <v>3669.82</v>
      </c>
      <c r="F126" s="74">
        <f t="shared" si="178"/>
        <v>4842.8850003314601</v>
      </c>
      <c r="G126" s="75">
        <v>12</v>
      </c>
      <c r="H126" s="56" t="s">
        <v>39</v>
      </c>
      <c r="I126" s="73">
        <f t="shared" si="179"/>
        <v>403.57375002762166</v>
      </c>
      <c r="J126" s="69"/>
      <c r="K126" s="68">
        <f t="shared" si="180"/>
        <v>0</v>
      </c>
      <c r="L126" s="62">
        <f t="shared" si="105"/>
        <v>-4842.8850003314601</v>
      </c>
      <c r="M126" s="69">
        <f t="shared" si="190"/>
        <v>-12</v>
      </c>
      <c r="O126" s="69"/>
      <c r="P126" s="68">
        <f t="shared" si="182"/>
        <v>0</v>
      </c>
      <c r="Q126" s="62">
        <f t="shared" si="107"/>
        <v>-4842.8850003314601</v>
      </c>
      <c r="R126" s="69">
        <f t="shared" si="191"/>
        <v>-12</v>
      </c>
      <c r="U126" s="68">
        <f t="shared" si="184"/>
        <v>0</v>
      </c>
      <c r="V126" s="62">
        <f t="shared" si="98"/>
        <v>-4842.8850003314601</v>
      </c>
      <c r="W126" s="69">
        <f t="shared" si="192"/>
        <v>-12</v>
      </c>
      <c r="Y126" s="75">
        <v>12</v>
      </c>
      <c r="Z126" s="68">
        <f t="shared" si="186"/>
        <v>4842.8850003314601</v>
      </c>
      <c r="AA126" s="68">
        <f t="shared" si="100"/>
        <v>-4842.8850003314601</v>
      </c>
      <c r="AB126" s="69">
        <f t="shared" si="187"/>
        <v>-12</v>
      </c>
      <c r="AD126" s="75">
        <f>$AD$125*G126/$G$125</f>
        <v>0</v>
      </c>
    </row>
    <row r="127" spans="1:34" ht="15" customHeight="1" outlineLevel="2" x14ac:dyDescent="0.25">
      <c r="B127" s="71">
        <v>2185</v>
      </c>
      <c r="C127" s="56" t="s">
        <v>162</v>
      </c>
      <c r="E127" s="73">
        <v>23.7</v>
      </c>
      <c r="F127" s="74">
        <f t="shared" si="178"/>
        <v>31.275750447666535</v>
      </c>
      <c r="G127" s="75">
        <v>1.2</v>
      </c>
      <c r="H127" s="56" t="s">
        <v>43</v>
      </c>
      <c r="I127" s="73">
        <f t="shared" si="179"/>
        <v>26.063125373055446</v>
      </c>
      <c r="J127" s="69"/>
      <c r="K127" s="68">
        <f t="shared" si="180"/>
        <v>0</v>
      </c>
      <c r="L127" s="62">
        <f t="shared" si="105"/>
        <v>-31.275750447666532</v>
      </c>
      <c r="M127" s="69">
        <f t="shared" si="190"/>
        <v>-1.2</v>
      </c>
      <c r="O127" s="69"/>
      <c r="P127" s="68">
        <f t="shared" si="182"/>
        <v>0</v>
      </c>
      <c r="Q127" s="62">
        <f t="shared" si="107"/>
        <v>-31.275750447666532</v>
      </c>
      <c r="R127" s="69">
        <f t="shared" si="191"/>
        <v>-1.2</v>
      </c>
      <c r="U127" s="68">
        <f t="shared" si="184"/>
        <v>0</v>
      </c>
      <c r="V127" s="62">
        <f t="shared" si="98"/>
        <v>-31.275750447666532</v>
      </c>
      <c r="W127" s="69">
        <f t="shared" si="192"/>
        <v>-1.2</v>
      </c>
      <c r="Y127" s="75">
        <v>1.2</v>
      </c>
      <c r="Z127" s="68">
        <f t="shared" si="186"/>
        <v>31.275750447666532</v>
      </c>
      <c r="AA127" s="68">
        <f t="shared" si="100"/>
        <v>-31.275750447666532</v>
      </c>
      <c r="AB127" s="69">
        <f t="shared" si="187"/>
        <v>-1.2</v>
      </c>
      <c r="AD127" s="75">
        <f>$AD$125*G127/$G$125</f>
        <v>0</v>
      </c>
    </row>
    <row r="128" spans="1:34" ht="15" customHeight="1" outlineLevel="2" collapsed="1" x14ac:dyDescent="0.25">
      <c r="B128" s="71">
        <v>2149</v>
      </c>
      <c r="C128" s="56" t="s">
        <v>48</v>
      </c>
      <c r="E128" s="73">
        <v>10.17</v>
      </c>
      <c r="F128" s="74">
        <f t="shared" si="178"/>
        <v>13.420860002226526</v>
      </c>
      <c r="G128" s="75">
        <v>1.2</v>
      </c>
      <c r="H128" s="56" t="s">
        <v>43</v>
      </c>
      <c r="I128" s="73">
        <f t="shared" si="179"/>
        <v>11.184050001855439</v>
      </c>
      <c r="J128" s="69"/>
      <c r="K128" s="68">
        <f t="shared" si="180"/>
        <v>0</v>
      </c>
      <c r="L128" s="62">
        <f t="shared" si="105"/>
        <v>-13.420860002226528</v>
      </c>
      <c r="M128" s="69">
        <f t="shared" si="190"/>
        <v>-1.2</v>
      </c>
      <c r="O128" s="69"/>
      <c r="P128" s="68">
        <f t="shared" si="182"/>
        <v>0</v>
      </c>
      <c r="Q128" s="62">
        <f t="shared" si="107"/>
        <v>-13.420860002226528</v>
      </c>
      <c r="R128" s="69">
        <f t="shared" si="191"/>
        <v>-1.2</v>
      </c>
      <c r="U128" s="68">
        <f t="shared" si="184"/>
        <v>0</v>
      </c>
      <c r="V128" s="62">
        <f t="shared" si="98"/>
        <v>-13.420860002226528</v>
      </c>
      <c r="W128" s="69">
        <f t="shared" si="192"/>
        <v>-1.2</v>
      </c>
      <c r="Y128" s="75">
        <v>1.2</v>
      </c>
      <c r="Z128" s="68">
        <f t="shared" si="186"/>
        <v>13.420860002226528</v>
      </c>
      <c r="AA128" s="68">
        <f t="shared" si="100"/>
        <v>-13.420860002226528</v>
      </c>
      <c r="AB128" s="69">
        <f t="shared" si="187"/>
        <v>-1.2</v>
      </c>
      <c r="AD128" s="75">
        <f>$AD$125*G128/$G$125</f>
        <v>0</v>
      </c>
    </row>
    <row r="129" spans="1:34" ht="15" customHeight="1" outlineLevel="2" x14ac:dyDescent="0.25">
      <c r="B129" s="71">
        <v>6480</v>
      </c>
      <c r="C129" s="56" t="s">
        <v>96</v>
      </c>
      <c r="E129" s="73">
        <v>2080.56</v>
      </c>
      <c r="F129" s="74">
        <f t="shared" si="178"/>
        <v>2745.6149937298346</v>
      </c>
      <c r="G129" s="75">
        <v>1</v>
      </c>
      <c r="H129" s="56" t="s">
        <v>34</v>
      </c>
      <c r="I129" s="73">
        <f t="shared" si="179"/>
        <v>2745.6149937298346</v>
      </c>
      <c r="J129" s="69"/>
      <c r="K129" s="68">
        <f t="shared" si="180"/>
        <v>0</v>
      </c>
      <c r="L129" s="62">
        <f t="shared" si="105"/>
        <v>-2745.6149937298346</v>
      </c>
      <c r="M129" s="69">
        <f t="shared" si="190"/>
        <v>-1</v>
      </c>
      <c r="O129" s="69"/>
      <c r="P129" s="68">
        <f t="shared" si="182"/>
        <v>0</v>
      </c>
      <c r="Q129" s="62">
        <f t="shared" si="107"/>
        <v>-2745.6149937298346</v>
      </c>
      <c r="R129" s="69">
        <f t="shared" si="191"/>
        <v>-1</v>
      </c>
      <c r="U129" s="68">
        <f t="shared" si="184"/>
        <v>0</v>
      </c>
      <c r="V129" s="62">
        <f t="shared" si="98"/>
        <v>-2745.6149937298346</v>
      </c>
      <c r="W129" s="69">
        <f t="shared" si="192"/>
        <v>-1</v>
      </c>
      <c r="Y129" s="75">
        <v>1</v>
      </c>
      <c r="Z129" s="68">
        <f t="shared" si="186"/>
        <v>2745.6149937298346</v>
      </c>
      <c r="AA129" s="68">
        <f t="shared" si="100"/>
        <v>-2745.6149937298346</v>
      </c>
      <c r="AB129" s="69">
        <f t="shared" si="187"/>
        <v>-1</v>
      </c>
      <c r="AD129" s="75">
        <f>$AD$125*G129/$G$125</f>
        <v>0</v>
      </c>
    </row>
    <row r="130" spans="1:34" ht="15" customHeight="1" outlineLevel="2" collapsed="1" x14ac:dyDescent="0.25">
      <c r="B130" s="71">
        <v>3290</v>
      </c>
      <c r="C130" s="56" t="s">
        <v>163</v>
      </c>
      <c r="E130" s="73">
        <v>4800</v>
      </c>
      <c r="F130" s="74">
        <f t="shared" si="178"/>
        <v>6334.329204590691</v>
      </c>
      <c r="G130" s="75">
        <v>12</v>
      </c>
      <c r="H130" s="56" t="s">
        <v>39</v>
      </c>
      <c r="I130" s="73">
        <f t="shared" si="179"/>
        <v>527.86076704922425</v>
      </c>
      <c r="J130" s="69"/>
      <c r="K130" s="68">
        <f t="shared" si="180"/>
        <v>0</v>
      </c>
      <c r="L130" s="62">
        <f t="shared" si="105"/>
        <v>-6334.329204590691</v>
      </c>
      <c r="M130" s="69">
        <f t="shared" si="190"/>
        <v>-12</v>
      </c>
      <c r="O130" s="69"/>
      <c r="P130" s="68">
        <f t="shared" si="182"/>
        <v>0</v>
      </c>
      <c r="Q130" s="62">
        <f t="shared" si="107"/>
        <v>-6334.329204590691</v>
      </c>
      <c r="R130" s="69">
        <f t="shared" si="191"/>
        <v>-12</v>
      </c>
      <c r="U130" s="68">
        <f t="shared" si="184"/>
        <v>0</v>
      </c>
      <c r="V130" s="62">
        <f t="shared" si="98"/>
        <v>-6334.329204590691</v>
      </c>
      <c r="W130" s="69">
        <f t="shared" si="192"/>
        <v>-12</v>
      </c>
      <c r="Y130" s="75">
        <v>12</v>
      </c>
      <c r="Z130" s="68">
        <f t="shared" si="186"/>
        <v>6334.329204590691</v>
      </c>
      <c r="AA130" s="68">
        <f t="shared" si="100"/>
        <v>-6334.329204590691</v>
      </c>
      <c r="AB130" s="69">
        <f t="shared" si="187"/>
        <v>-12</v>
      </c>
      <c r="AD130" s="75">
        <f>$AD$125*G130/$G$125</f>
        <v>0</v>
      </c>
    </row>
    <row r="131" spans="1:34" ht="15" customHeight="1" outlineLevel="1" x14ac:dyDescent="0.25">
      <c r="A131" s="67"/>
      <c r="B131" s="66"/>
      <c r="C131" s="67" t="s">
        <v>164</v>
      </c>
      <c r="D131" s="68"/>
      <c r="E131" s="68">
        <v>7774.21</v>
      </c>
      <c r="F131" s="68">
        <f t="shared" si="178"/>
        <v>10259.251134504373</v>
      </c>
      <c r="G131" s="69">
        <v>10</v>
      </c>
      <c r="H131" s="67" t="s">
        <v>39</v>
      </c>
      <c r="I131" s="68">
        <f t="shared" si="179"/>
        <v>1025.9251134504373</v>
      </c>
      <c r="J131" s="69"/>
      <c r="K131" s="68">
        <f t="shared" si="180"/>
        <v>0</v>
      </c>
      <c r="L131" s="62">
        <f t="shared" si="105"/>
        <v>10259.251134504373</v>
      </c>
      <c r="M131" s="69">
        <f t="shared" si="190"/>
        <v>10</v>
      </c>
      <c r="N131" s="70">
        <f t="shared" ref="N131" si="210">100%-(L131/$F131)</f>
        <v>0</v>
      </c>
      <c r="O131" s="69"/>
      <c r="P131" s="68">
        <f t="shared" si="182"/>
        <v>0</v>
      </c>
      <c r="Q131" s="62">
        <f t="shared" si="107"/>
        <v>10259.251134504373</v>
      </c>
      <c r="R131" s="69">
        <f t="shared" si="191"/>
        <v>10</v>
      </c>
      <c r="S131" s="70">
        <f t="shared" ref="S131" si="211">100%-(Q131/$F131)</f>
        <v>0</v>
      </c>
      <c r="T131" s="69"/>
      <c r="U131" s="68">
        <f t="shared" si="184"/>
        <v>0</v>
      </c>
      <c r="V131" s="62">
        <f t="shared" si="98"/>
        <v>10259.251134504373</v>
      </c>
      <c r="W131" s="69">
        <f t="shared" si="192"/>
        <v>10</v>
      </c>
      <c r="X131" s="70">
        <f t="shared" ref="X131" si="212">100%-(V131/$F131)</f>
        <v>0</v>
      </c>
      <c r="Y131" s="69"/>
      <c r="Z131" s="68">
        <f t="shared" si="186"/>
        <v>0</v>
      </c>
      <c r="AA131" s="68">
        <f t="shared" si="100"/>
        <v>10259.251134504373</v>
      </c>
      <c r="AB131" s="69">
        <f t="shared" si="187"/>
        <v>10</v>
      </c>
      <c r="AC131" s="70">
        <f t="shared" ref="AC131" si="213">100%-(AA131/$F131)</f>
        <v>0</v>
      </c>
      <c r="AD131" s="69"/>
      <c r="AE131" s="68">
        <f>AD131*I131</f>
        <v>0</v>
      </c>
      <c r="AF131" s="68">
        <f>F131-AE131</f>
        <v>10259.251134504373</v>
      </c>
      <c r="AG131" s="69">
        <f>G131-AD131</f>
        <v>10</v>
      </c>
      <c r="AH131" s="70">
        <f t="shared" ref="AH131" si="214">100%-(AF131/$F131)</f>
        <v>0</v>
      </c>
    </row>
    <row r="132" spans="1:34" ht="15" customHeight="1" outlineLevel="2" x14ac:dyDescent="0.25">
      <c r="B132" s="71">
        <v>4410</v>
      </c>
      <c r="C132" s="56" t="s">
        <v>93</v>
      </c>
      <c r="E132" s="73">
        <v>3058.18</v>
      </c>
      <c r="F132" s="74">
        <f t="shared" si="178"/>
        <v>4035.7331014364913</v>
      </c>
      <c r="G132" s="75">
        <v>10</v>
      </c>
      <c r="H132" s="56" t="s">
        <v>39</v>
      </c>
      <c r="I132" s="73">
        <f t="shared" si="179"/>
        <v>403.57331014364911</v>
      </c>
      <c r="J132" s="69"/>
      <c r="K132" s="68">
        <f t="shared" si="180"/>
        <v>0</v>
      </c>
      <c r="L132" s="62">
        <f t="shared" si="105"/>
        <v>-4035.7331014364909</v>
      </c>
      <c r="M132" s="69">
        <f t="shared" si="190"/>
        <v>-10</v>
      </c>
      <c r="O132" s="69"/>
      <c r="P132" s="68">
        <f t="shared" si="182"/>
        <v>0</v>
      </c>
      <c r="Q132" s="62">
        <f t="shared" si="107"/>
        <v>-4035.7331014364909</v>
      </c>
      <c r="R132" s="69">
        <f t="shared" si="191"/>
        <v>-10</v>
      </c>
      <c r="U132" s="68">
        <f t="shared" si="184"/>
        <v>0</v>
      </c>
      <c r="V132" s="62">
        <f t="shared" si="98"/>
        <v>-4035.7331014364909</v>
      </c>
      <c r="W132" s="69">
        <f t="shared" si="192"/>
        <v>-10</v>
      </c>
      <c r="Y132" s="75">
        <v>10</v>
      </c>
      <c r="Z132" s="68">
        <f t="shared" si="186"/>
        <v>4035.7331014364909</v>
      </c>
      <c r="AA132" s="68">
        <f t="shared" si="100"/>
        <v>-4035.7331014364909</v>
      </c>
      <c r="AB132" s="69">
        <f t="shared" si="187"/>
        <v>-10</v>
      </c>
      <c r="AD132" s="75">
        <f>$AD$131*G132/$G$131</f>
        <v>0</v>
      </c>
    </row>
    <row r="133" spans="1:34" ht="15" customHeight="1" outlineLevel="2" collapsed="1" x14ac:dyDescent="0.25">
      <c r="B133" s="71">
        <v>2185</v>
      </c>
      <c r="C133" s="56" t="s">
        <v>51</v>
      </c>
      <c r="E133" s="73">
        <v>19.75</v>
      </c>
      <c r="F133" s="74">
        <f t="shared" si="178"/>
        <v>26.063125373055446</v>
      </c>
      <c r="G133" s="75">
        <v>1</v>
      </c>
      <c r="H133" s="56" t="s">
        <v>43</v>
      </c>
      <c r="I133" s="73">
        <f t="shared" si="179"/>
        <v>26.063125373055446</v>
      </c>
      <c r="J133" s="69"/>
      <c r="K133" s="68">
        <f t="shared" si="180"/>
        <v>0</v>
      </c>
      <c r="L133" s="62">
        <f t="shared" si="105"/>
        <v>-26.063125373055446</v>
      </c>
      <c r="M133" s="69">
        <f t="shared" si="190"/>
        <v>-1</v>
      </c>
      <c r="O133" s="69"/>
      <c r="P133" s="68">
        <f t="shared" si="182"/>
        <v>0</v>
      </c>
      <c r="Q133" s="62">
        <f t="shared" si="107"/>
        <v>-26.063125373055446</v>
      </c>
      <c r="R133" s="69">
        <f t="shared" si="191"/>
        <v>-1</v>
      </c>
      <c r="U133" s="68">
        <f t="shared" si="184"/>
        <v>0</v>
      </c>
      <c r="V133" s="62">
        <f t="shared" ref="V133:V196" si="215">+AA133-U133</f>
        <v>-26.063125373055446</v>
      </c>
      <c r="W133" s="69">
        <f t="shared" si="192"/>
        <v>-1</v>
      </c>
      <c r="Y133" s="75">
        <v>1</v>
      </c>
      <c r="Z133" s="68">
        <f t="shared" si="186"/>
        <v>26.063125373055446</v>
      </c>
      <c r="AA133" s="68">
        <f t="shared" ref="AA133:AA196" si="216">+AF133-Z133</f>
        <v>-26.063125373055446</v>
      </c>
      <c r="AB133" s="69">
        <f t="shared" si="187"/>
        <v>-1</v>
      </c>
      <c r="AD133" s="75">
        <f>$AD$131*G133/$G$131</f>
        <v>0</v>
      </c>
    </row>
    <row r="134" spans="1:34" ht="15" customHeight="1" outlineLevel="2" x14ac:dyDescent="0.25">
      <c r="B134" s="71">
        <v>2149</v>
      </c>
      <c r="C134" s="56" t="s">
        <v>48</v>
      </c>
      <c r="E134" s="73">
        <v>8.48</v>
      </c>
      <c r="F134" s="74">
        <f t="shared" si="178"/>
        <v>11.190648261443554</v>
      </c>
      <c r="G134" s="75">
        <v>1</v>
      </c>
      <c r="H134" s="56" t="s">
        <v>43</v>
      </c>
      <c r="I134" s="73">
        <f t="shared" si="179"/>
        <v>11.190648261443554</v>
      </c>
      <c r="J134" s="69"/>
      <c r="K134" s="68">
        <f t="shared" si="180"/>
        <v>0</v>
      </c>
      <c r="L134" s="62">
        <f t="shared" si="105"/>
        <v>-11.190648261443554</v>
      </c>
      <c r="M134" s="69">
        <f t="shared" si="190"/>
        <v>-1</v>
      </c>
      <c r="O134" s="69"/>
      <c r="P134" s="68">
        <f t="shared" si="182"/>
        <v>0</v>
      </c>
      <c r="Q134" s="62">
        <f t="shared" si="107"/>
        <v>-11.190648261443554</v>
      </c>
      <c r="R134" s="69">
        <f t="shared" si="191"/>
        <v>-1</v>
      </c>
      <c r="U134" s="68">
        <f t="shared" si="184"/>
        <v>0</v>
      </c>
      <c r="V134" s="62">
        <f t="shared" si="215"/>
        <v>-11.190648261443554</v>
      </c>
      <c r="W134" s="69">
        <f t="shared" si="192"/>
        <v>-1</v>
      </c>
      <c r="Y134" s="75">
        <v>1</v>
      </c>
      <c r="Z134" s="68">
        <f t="shared" si="186"/>
        <v>11.190648261443554</v>
      </c>
      <c r="AA134" s="68">
        <f t="shared" si="216"/>
        <v>-11.190648261443554</v>
      </c>
      <c r="AB134" s="69">
        <f t="shared" si="187"/>
        <v>-1</v>
      </c>
      <c r="AD134" s="75">
        <f>$AD$131*G134/$G$131</f>
        <v>0</v>
      </c>
    </row>
    <row r="135" spans="1:34" ht="15" customHeight="1" outlineLevel="2" x14ac:dyDescent="0.25">
      <c r="B135" s="71">
        <v>6480</v>
      </c>
      <c r="C135" s="56" t="s">
        <v>96</v>
      </c>
      <c r="E135" s="73">
        <v>687.8</v>
      </c>
      <c r="F135" s="74">
        <f t="shared" si="178"/>
        <v>907.65658894114097</v>
      </c>
      <c r="G135" s="75">
        <v>1</v>
      </c>
      <c r="H135" s="56" t="s">
        <v>34</v>
      </c>
      <c r="I135" s="73">
        <f t="shared" si="179"/>
        <v>907.65658894114097</v>
      </c>
      <c r="J135" s="69"/>
      <c r="K135" s="68">
        <f t="shared" si="180"/>
        <v>0</v>
      </c>
      <c r="L135" s="62">
        <f t="shared" ref="L135:L198" si="217">+Q135-K135</f>
        <v>-907.65658894114097</v>
      </c>
      <c r="M135" s="69">
        <f t="shared" si="190"/>
        <v>-1</v>
      </c>
      <c r="O135" s="69"/>
      <c r="P135" s="68">
        <f t="shared" si="182"/>
        <v>0</v>
      </c>
      <c r="Q135" s="62">
        <f t="shared" ref="Q135:Q198" si="218">+V135-P135</f>
        <v>-907.65658894114097</v>
      </c>
      <c r="R135" s="69">
        <f t="shared" si="191"/>
        <v>-1</v>
      </c>
      <c r="U135" s="68">
        <f t="shared" si="184"/>
        <v>0</v>
      </c>
      <c r="V135" s="62">
        <f t="shared" si="215"/>
        <v>-907.65658894114097</v>
      </c>
      <c r="W135" s="69">
        <f t="shared" si="192"/>
        <v>-1</v>
      </c>
      <c r="Y135" s="75">
        <v>1</v>
      </c>
      <c r="Z135" s="68">
        <f t="shared" si="186"/>
        <v>907.65658894114097</v>
      </c>
      <c r="AA135" s="68">
        <f t="shared" si="216"/>
        <v>-907.65658894114097</v>
      </c>
      <c r="AB135" s="69">
        <f t="shared" si="187"/>
        <v>-1</v>
      </c>
      <c r="AD135" s="75">
        <f>$AD$131*G135/$G$131</f>
        <v>0</v>
      </c>
    </row>
    <row r="136" spans="1:34" ht="15" customHeight="1" outlineLevel="2" x14ac:dyDescent="0.25">
      <c r="B136" s="71">
        <v>3290</v>
      </c>
      <c r="C136" s="56" t="s">
        <v>163</v>
      </c>
      <c r="E136" s="73">
        <v>4000</v>
      </c>
      <c r="F136" s="74">
        <f t="shared" si="178"/>
        <v>5278.6076704922425</v>
      </c>
      <c r="G136" s="75">
        <v>10</v>
      </c>
      <c r="H136" s="56" t="s">
        <v>39</v>
      </c>
      <c r="I136" s="73">
        <f t="shared" si="179"/>
        <v>527.86076704922425</v>
      </c>
      <c r="J136" s="69"/>
      <c r="K136" s="68">
        <f t="shared" si="180"/>
        <v>0</v>
      </c>
      <c r="L136" s="62">
        <f t="shared" si="217"/>
        <v>-5278.6076704922425</v>
      </c>
      <c r="M136" s="69">
        <f t="shared" si="190"/>
        <v>-10</v>
      </c>
      <c r="O136" s="69"/>
      <c r="P136" s="68">
        <f t="shared" si="182"/>
        <v>0</v>
      </c>
      <c r="Q136" s="62">
        <f t="shared" si="218"/>
        <v>-5278.6076704922425</v>
      </c>
      <c r="R136" s="69">
        <f t="shared" si="191"/>
        <v>-10</v>
      </c>
      <c r="U136" s="68">
        <f t="shared" si="184"/>
        <v>0</v>
      </c>
      <c r="V136" s="62">
        <f t="shared" si="215"/>
        <v>-5278.6076704922425</v>
      </c>
      <c r="W136" s="69">
        <f t="shared" si="192"/>
        <v>-10</v>
      </c>
      <c r="Y136" s="75">
        <v>10</v>
      </c>
      <c r="Z136" s="68">
        <f t="shared" si="186"/>
        <v>5278.6076704922425</v>
      </c>
      <c r="AA136" s="68">
        <f t="shared" si="216"/>
        <v>-5278.6076704922425</v>
      </c>
      <c r="AB136" s="69">
        <f t="shared" si="187"/>
        <v>-10</v>
      </c>
      <c r="AD136" s="75">
        <f>$AD$131*G136/$G$131</f>
        <v>0</v>
      </c>
    </row>
    <row r="137" spans="1:34" ht="15" customHeight="1" outlineLevel="1" x14ac:dyDescent="0.25">
      <c r="A137" s="67"/>
      <c r="B137" s="66"/>
      <c r="C137" s="67" t="s">
        <v>165</v>
      </c>
      <c r="D137" s="68"/>
      <c r="E137" s="68">
        <v>315.63</v>
      </c>
      <c r="F137" s="68">
        <f t="shared" si="178"/>
        <v>416.52173475936661</v>
      </c>
      <c r="G137" s="69">
        <v>4</v>
      </c>
      <c r="H137" s="67" t="s">
        <v>39</v>
      </c>
      <c r="I137" s="68">
        <f t="shared" si="179"/>
        <v>104.13043368984165</v>
      </c>
      <c r="J137" s="69"/>
      <c r="K137" s="68">
        <f t="shared" si="180"/>
        <v>0</v>
      </c>
      <c r="L137" s="62">
        <f t="shared" si="217"/>
        <v>104.13043368984165</v>
      </c>
      <c r="M137" s="69">
        <f t="shared" si="190"/>
        <v>1</v>
      </c>
      <c r="N137" s="70">
        <f t="shared" ref="N137" si="219">100%-(L137/$F137)</f>
        <v>0.75</v>
      </c>
      <c r="O137" s="69"/>
      <c r="P137" s="68">
        <f t="shared" si="182"/>
        <v>0</v>
      </c>
      <c r="Q137" s="62">
        <f t="shared" si="218"/>
        <v>104.13043368984165</v>
      </c>
      <c r="R137" s="69">
        <f t="shared" si="191"/>
        <v>1</v>
      </c>
      <c r="S137" s="70">
        <f t="shared" ref="S137" si="220">100%-(Q137/$F137)</f>
        <v>0.75</v>
      </c>
      <c r="T137" s="69"/>
      <c r="U137" s="68">
        <f t="shared" si="184"/>
        <v>0</v>
      </c>
      <c r="V137" s="62">
        <f t="shared" si="215"/>
        <v>104.13043368984165</v>
      </c>
      <c r="W137" s="69">
        <f t="shared" si="192"/>
        <v>1</v>
      </c>
      <c r="X137" s="70">
        <f t="shared" ref="X137" si="221">100%-(V137/$F137)</f>
        <v>0.75</v>
      </c>
      <c r="Y137" s="69">
        <v>3</v>
      </c>
      <c r="Z137" s="68">
        <f t="shared" si="186"/>
        <v>312.39130106952496</v>
      </c>
      <c r="AA137" s="68">
        <f t="shared" si="216"/>
        <v>104.13043368984165</v>
      </c>
      <c r="AB137" s="69">
        <f t="shared" si="187"/>
        <v>1</v>
      </c>
      <c r="AC137" s="70">
        <f t="shared" ref="AC137" si="222">100%-(AA137/$F137)</f>
        <v>0.75</v>
      </c>
      <c r="AD137" s="69"/>
      <c r="AE137" s="68">
        <f>AD137*I137</f>
        <v>0</v>
      </c>
      <c r="AF137" s="68">
        <f>F137-AE137</f>
        <v>416.52173475936661</v>
      </c>
      <c r="AG137" s="69">
        <f>G137-AD137</f>
        <v>4</v>
      </c>
      <c r="AH137" s="70">
        <f t="shared" ref="AH137" si="223">100%-(AF137/$F137)</f>
        <v>0</v>
      </c>
    </row>
    <row r="138" spans="1:34" ht="15" customHeight="1" outlineLevel="2" collapsed="1" x14ac:dyDescent="0.25">
      <c r="B138" s="71">
        <v>4410</v>
      </c>
      <c r="C138" s="56" t="s">
        <v>93</v>
      </c>
      <c r="E138" s="73">
        <v>275.63</v>
      </c>
      <c r="F138" s="74">
        <f t="shared" si="178"/>
        <v>363.73565805444417</v>
      </c>
      <c r="G138" s="75">
        <v>4</v>
      </c>
      <c r="H138" s="56" t="s">
        <v>39</v>
      </c>
      <c r="I138" s="73">
        <f t="shared" si="179"/>
        <v>90.933914513611043</v>
      </c>
      <c r="J138" s="69"/>
      <c r="K138" s="68">
        <f t="shared" si="180"/>
        <v>0</v>
      </c>
      <c r="L138" s="62">
        <f t="shared" si="217"/>
        <v>-363.73565805444417</v>
      </c>
      <c r="M138" s="69">
        <f t="shared" si="190"/>
        <v>-4</v>
      </c>
      <c r="O138" s="69"/>
      <c r="P138" s="68">
        <f t="shared" si="182"/>
        <v>0</v>
      </c>
      <c r="Q138" s="62">
        <f t="shared" si="218"/>
        <v>-363.73565805444417</v>
      </c>
      <c r="R138" s="69">
        <f t="shared" si="191"/>
        <v>-4</v>
      </c>
      <c r="U138" s="68">
        <f t="shared" si="184"/>
        <v>0</v>
      </c>
      <c r="V138" s="62">
        <f t="shared" si="215"/>
        <v>-363.73565805444417</v>
      </c>
      <c r="W138" s="69">
        <f t="shared" si="192"/>
        <v>-4</v>
      </c>
      <c r="Y138" s="75">
        <v>4</v>
      </c>
      <c r="Z138" s="68">
        <f t="shared" si="186"/>
        <v>363.73565805444417</v>
      </c>
      <c r="AA138" s="68">
        <f t="shared" si="216"/>
        <v>-363.73565805444417</v>
      </c>
      <c r="AB138" s="69">
        <f t="shared" si="187"/>
        <v>-4</v>
      </c>
      <c r="AD138" s="75">
        <f>$AD$137*G138/$G$137</f>
        <v>0</v>
      </c>
    </row>
    <row r="139" spans="1:34" ht="15" customHeight="1" outlineLevel="2" x14ac:dyDescent="0.25">
      <c r="B139" s="71">
        <v>6480</v>
      </c>
      <c r="C139" s="56" t="s">
        <v>96</v>
      </c>
      <c r="E139" s="73">
        <v>40</v>
      </c>
      <c r="F139" s="74">
        <f t="shared" si="178"/>
        <v>52.786076704922422</v>
      </c>
      <c r="G139" s="75">
        <v>1</v>
      </c>
      <c r="H139" s="56" t="s">
        <v>39</v>
      </c>
      <c r="I139" s="73">
        <f t="shared" si="179"/>
        <v>52.786076704922422</v>
      </c>
      <c r="J139" s="69"/>
      <c r="K139" s="68">
        <f t="shared" si="180"/>
        <v>0</v>
      </c>
      <c r="L139" s="62">
        <f t="shared" si="217"/>
        <v>-52.786076704922422</v>
      </c>
      <c r="M139" s="69">
        <f t="shared" si="190"/>
        <v>-1</v>
      </c>
      <c r="O139" s="69"/>
      <c r="P139" s="68">
        <f t="shared" si="182"/>
        <v>0</v>
      </c>
      <c r="Q139" s="62">
        <f t="shared" si="218"/>
        <v>-52.786076704922422</v>
      </c>
      <c r="R139" s="69">
        <f t="shared" si="191"/>
        <v>-1</v>
      </c>
      <c r="U139" s="68">
        <f t="shared" si="184"/>
        <v>0</v>
      </c>
      <c r="V139" s="62">
        <f t="shared" si="215"/>
        <v>-52.786076704922422</v>
      </c>
      <c r="W139" s="69">
        <f t="shared" si="192"/>
        <v>-1</v>
      </c>
      <c r="Y139" s="75">
        <v>1</v>
      </c>
      <c r="Z139" s="68">
        <f t="shared" si="186"/>
        <v>52.786076704922422</v>
      </c>
      <c r="AA139" s="68">
        <f t="shared" si="216"/>
        <v>-52.786076704922422</v>
      </c>
      <c r="AB139" s="69">
        <f t="shared" si="187"/>
        <v>-1</v>
      </c>
      <c r="AD139" s="75">
        <f>$AD$137*G139/$G$137</f>
        <v>0</v>
      </c>
    </row>
    <row r="140" spans="1:34" ht="15" customHeight="1" outlineLevel="1" x14ac:dyDescent="0.25">
      <c r="A140" s="67"/>
      <c r="B140" s="66"/>
      <c r="C140" s="67" t="s">
        <v>166</v>
      </c>
      <c r="D140" s="68"/>
      <c r="E140" s="68">
        <v>216.72</v>
      </c>
      <c r="F140" s="68">
        <f t="shared" ref="F140:F171" si="224">$D$107/$E$107*E140</f>
        <v>285.99496358726969</v>
      </c>
      <c r="G140" s="69">
        <v>3</v>
      </c>
      <c r="H140" s="67" t="s">
        <v>39</v>
      </c>
      <c r="I140" s="68">
        <f t="shared" si="179"/>
        <v>95.331654529089903</v>
      </c>
      <c r="J140" s="69"/>
      <c r="K140" s="68">
        <f t="shared" si="180"/>
        <v>0</v>
      </c>
      <c r="L140" s="62">
        <f t="shared" si="217"/>
        <v>95.331654529089889</v>
      </c>
      <c r="M140" s="69">
        <f t="shared" si="190"/>
        <v>1</v>
      </c>
      <c r="N140" s="70">
        <f t="shared" ref="N140" si="225">100%-(L140/$F140)</f>
        <v>0.66666666666666674</v>
      </c>
      <c r="O140" s="69"/>
      <c r="P140" s="68">
        <f t="shared" si="182"/>
        <v>0</v>
      </c>
      <c r="Q140" s="62">
        <f t="shared" si="218"/>
        <v>95.331654529089889</v>
      </c>
      <c r="R140" s="69">
        <f t="shared" si="191"/>
        <v>1</v>
      </c>
      <c r="S140" s="70">
        <f t="shared" ref="S140" si="226">100%-(Q140/$F140)</f>
        <v>0.66666666666666674</v>
      </c>
      <c r="T140" s="69">
        <v>2</v>
      </c>
      <c r="U140" s="68">
        <f t="shared" si="184"/>
        <v>190.66330905817981</v>
      </c>
      <c r="V140" s="62">
        <f t="shared" si="215"/>
        <v>95.331654529089889</v>
      </c>
      <c r="W140" s="69">
        <f t="shared" si="192"/>
        <v>1</v>
      </c>
      <c r="X140" s="70">
        <f t="shared" ref="X140" si="227">100%-(V140/$F140)</f>
        <v>0.66666666666666674</v>
      </c>
      <c r="Y140" s="69"/>
      <c r="Z140" s="68">
        <f t="shared" si="186"/>
        <v>0</v>
      </c>
      <c r="AA140" s="68">
        <f t="shared" si="216"/>
        <v>285.99496358726969</v>
      </c>
      <c r="AB140" s="69">
        <f t="shared" si="187"/>
        <v>3</v>
      </c>
      <c r="AC140" s="70">
        <f t="shared" ref="AC140" si="228">100%-(AA140/$F140)</f>
        <v>0</v>
      </c>
      <c r="AD140" s="69"/>
      <c r="AE140" s="68">
        <f>AD140*I140</f>
        <v>0</v>
      </c>
      <c r="AF140" s="68">
        <f>F140-AE140</f>
        <v>285.99496358726969</v>
      </c>
      <c r="AG140" s="69">
        <f>G140-AD140</f>
        <v>3</v>
      </c>
      <c r="AH140" s="70">
        <f t="shared" ref="AH140" si="229">100%-(AF140/$F140)</f>
        <v>0</v>
      </c>
    </row>
    <row r="141" spans="1:34" ht="15" customHeight="1" outlineLevel="2" x14ac:dyDescent="0.25">
      <c r="B141" s="71">
        <v>4410</v>
      </c>
      <c r="C141" s="56" t="s">
        <v>93</v>
      </c>
      <c r="E141" s="73">
        <v>206.72</v>
      </c>
      <c r="F141" s="74">
        <f t="shared" si="224"/>
        <v>272.7984444110391</v>
      </c>
      <c r="G141" s="75">
        <v>3</v>
      </c>
      <c r="H141" s="56" t="s">
        <v>39</v>
      </c>
      <c r="I141" s="73">
        <f t="shared" si="179"/>
        <v>90.932814803679705</v>
      </c>
      <c r="J141" s="69"/>
      <c r="K141" s="68">
        <f t="shared" si="180"/>
        <v>0</v>
      </c>
      <c r="L141" s="62">
        <f t="shared" si="217"/>
        <v>-272.7984444110391</v>
      </c>
      <c r="M141" s="69">
        <f t="shared" si="190"/>
        <v>-3</v>
      </c>
      <c r="O141" s="69"/>
      <c r="P141" s="68">
        <f t="shared" si="182"/>
        <v>0</v>
      </c>
      <c r="Q141" s="62">
        <f t="shared" si="218"/>
        <v>-272.7984444110391</v>
      </c>
      <c r="R141" s="69">
        <f t="shared" si="191"/>
        <v>-3</v>
      </c>
      <c r="U141" s="68">
        <f t="shared" si="184"/>
        <v>0</v>
      </c>
      <c r="V141" s="62">
        <f t="shared" si="215"/>
        <v>-272.7984444110391</v>
      </c>
      <c r="W141" s="69">
        <f t="shared" si="192"/>
        <v>-3</v>
      </c>
      <c r="Y141" s="75">
        <v>3</v>
      </c>
      <c r="Z141" s="68">
        <f t="shared" si="186"/>
        <v>272.7984444110391</v>
      </c>
      <c r="AA141" s="68">
        <f t="shared" si="216"/>
        <v>-272.7984444110391</v>
      </c>
      <c r="AB141" s="69">
        <f t="shared" si="187"/>
        <v>-3</v>
      </c>
      <c r="AD141" s="75">
        <f>$AD$140*G141/$G$140</f>
        <v>0</v>
      </c>
    </row>
    <row r="142" spans="1:34" ht="15" customHeight="1" outlineLevel="2" x14ac:dyDescent="0.25">
      <c r="B142" s="71">
        <v>6480</v>
      </c>
      <c r="C142" s="56" t="s">
        <v>96</v>
      </c>
      <c r="E142" s="73">
        <v>10</v>
      </c>
      <c r="F142" s="74">
        <f t="shared" si="224"/>
        <v>13.196519176230606</v>
      </c>
      <c r="G142" s="75">
        <v>1</v>
      </c>
      <c r="H142" s="56" t="s">
        <v>39</v>
      </c>
      <c r="I142" s="73">
        <f t="shared" si="179"/>
        <v>13.196519176230606</v>
      </c>
      <c r="J142" s="69"/>
      <c r="K142" s="68">
        <f t="shared" si="180"/>
        <v>0</v>
      </c>
      <c r="L142" s="62">
        <f t="shared" si="217"/>
        <v>-13.196519176230606</v>
      </c>
      <c r="M142" s="69">
        <f t="shared" si="190"/>
        <v>-1</v>
      </c>
      <c r="O142" s="69"/>
      <c r="P142" s="68">
        <f t="shared" si="182"/>
        <v>0</v>
      </c>
      <c r="Q142" s="62">
        <f t="shared" si="218"/>
        <v>-13.196519176230606</v>
      </c>
      <c r="R142" s="69">
        <f t="shared" si="191"/>
        <v>-1</v>
      </c>
      <c r="U142" s="68">
        <f t="shared" si="184"/>
        <v>0</v>
      </c>
      <c r="V142" s="62">
        <f t="shared" si="215"/>
        <v>-13.196519176230606</v>
      </c>
      <c r="W142" s="69">
        <f t="shared" si="192"/>
        <v>-1</v>
      </c>
      <c r="Y142" s="75">
        <v>1</v>
      </c>
      <c r="Z142" s="68">
        <f t="shared" si="186"/>
        <v>13.196519176230606</v>
      </c>
      <c r="AA142" s="68">
        <f t="shared" si="216"/>
        <v>-13.196519176230606</v>
      </c>
      <c r="AB142" s="69">
        <f t="shared" si="187"/>
        <v>-1</v>
      </c>
      <c r="AD142" s="75">
        <f>$AD$140*G142/$G$140</f>
        <v>0</v>
      </c>
    </row>
    <row r="143" spans="1:34" ht="15" customHeight="1" outlineLevel="1" x14ac:dyDescent="0.25">
      <c r="A143" s="67"/>
      <c r="B143" s="66"/>
      <c r="C143" s="67" t="s">
        <v>167</v>
      </c>
      <c r="D143" s="68"/>
      <c r="E143" s="68">
        <v>1249.97</v>
      </c>
      <c r="F143" s="68">
        <f t="shared" si="224"/>
        <v>1649.5253074712971</v>
      </c>
      <c r="G143" s="69">
        <v>2</v>
      </c>
      <c r="H143" s="67" t="s">
        <v>39</v>
      </c>
      <c r="I143" s="68">
        <f t="shared" si="179"/>
        <v>824.76265373564854</v>
      </c>
      <c r="J143" s="69"/>
      <c r="K143" s="68">
        <f t="shared" si="180"/>
        <v>0</v>
      </c>
      <c r="L143" s="62">
        <f t="shared" si="217"/>
        <v>1649.5253074712971</v>
      </c>
      <c r="M143" s="69">
        <f t="shared" si="190"/>
        <v>2</v>
      </c>
      <c r="N143" s="70">
        <f t="shared" ref="N143" si="230">100%-(L143/$F143)</f>
        <v>0</v>
      </c>
      <c r="O143" s="69"/>
      <c r="P143" s="68">
        <f t="shared" si="182"/>
        <v>0</v>
      </c>
      <c r="Q143" s="62">
        <f t="shared" si="218"/>
        <v>1649.5253074712971</v>
      </c>
      <c r="R143" s="69">
        <f t="shared" si="191"/>
        <v>2</v>
      </c>
      <c r="S143" s="70">
        <f t="shared" ref="S143" si="231">100%-(Q143/$F143)</f>
        <v>0</v>
      </c>
      <c r="T143" s="69"/>
      <c r="U143" s="68">
        <f t="shared" si="184"/>
        <v>0</v>
      </c>
      <c r="V143" s="62">
        <f t="shared" si="215"/>
        <v>1649.5253074712971</v>
      </c>
      <c r="W143" s="69">
        <f t="shared" si="192"/>
        <v>2</v>
      </c>
      <c r="X143" s="70">
        <f t="shared" ref="X143" si="232">100%-(V143/$F143)</f>
        <v>0</v>
      </c>
      <c r="Y143" s="69"/>
      <c r="Z143" s="68">
        <f t="shared" si="186"/>
        <v>0</v>
      </c>
      <c r="AA143" s="68">
        <f t="shared" si="216"/>
        <v>1649.5253074712971</v>
      </c>
      <c r="AB143" s="69">
        <f t="shared" si="187"/>
        <v>2</v>
      </c>
      <c r="AC143" s="70">
        <f t="shared" ref="AC143" si="233">100%-(AA143/$F143)</f>
        <v>0</v>
      </c>
      <c r="AD143" s="69"/>
      <c r="AE143" s="68">
        <f>AD143*I143</f>
        <v>0</v>
      </c>
      <c r="AF143" s="68">
        <f>F143-AE143</f>
        <v>1649.5253074712971</v>
      </c>
      <c r="AG143" s="69">
        <f>G143-AD143</f>
        <v>2</v>
      </c>
      <c r="AH143" s="70">
        <f t="shared" ref="AH143" si="234">100%-(AF143/$F143)</f>
        <v>0</v>
      </c>
    </row>
    <row r="144" spans="1:34" ht="15" customHeight="1" outlineLevel="2" collapsed="1" x14ac:dyDescent="0.25">
      <c r="B144" s="71">
        <v>4410</v>
      </c>
      <c r="C144" s="56" t="s">
        <v>93</v>
      </c>
      <c r="E144" s="73">
        <v>1249.97</v>
      </c>
      <c r="F144" s="74">
        <f t="shared" si="224"/>
        <v>1649.5253074712971</v>
      </c>
      <c r="G144" s="75">
        <v>2</v>
      </c>
      <c r="H144" s="56" t="s">
        <v>39</v>
      </c>
      <c r="I144" s="73">
        <f t="shared" si="179"/>
        <v>824.76265373564854</v>
      </c>
      <c r="J144" s="69"/>
      <c r="K144" s="68">
        <f t="shared" si="180"/>
        <v>0</v>
      </c>
      <c r="L144" s="62">
        <f t="shared" si="217"/>
        <v>-1649.5253074712971</v>
      </c>
      <c r="M144" s="69">
        <f t="shared" si="190"/>
        <v>-2</v>
      </c>
      <c r="O144" s="69"/>
      <c r="P144" s="68">
        <f t="shared" si="182"/>
        <v>0</v>
      </c>
      <c r="Q144" s="62">
        <f t="shared" si="218"/>
        <v>-1649.5253074712971</v>
      </c>
      <c r="R144" s="69">
        <f t="shared" si="191"/>
        <v>-2</v>
      </c>
      <c r="U144" s="68">
        <f t="shared" si="184"/>
        <v>0</v>
      </c>
      <c r="V144" s="62">
        <f t="shared" si="215"/>
        <v>-1649.5253074712971</v>
      </c>
      <c r="W144" s="69">
        <f t="shared" si="192"/>
        <v>-2</v>
      </c>
      <c r="Y144" s="75">
        <v>2</v>
      </c>
      <c r="Z144" s="68">
        <f t="shared" si="186"/>
        <v>1649.5253074712971</v>
      </c>
      <c r="AA144" s="68">
        <f t="shared" si="216"/>
        <v>-1649.5253074712971</v>
      </c>
      <c r="AB144" s="69">
        <f t="shared" si="187"/>
        <v>-2</v>
      </c>
      <c r="AD144" s="75">
        <f>AD143</f>
        <v>0</v>
      </c>
    </row>
    <row r="145" spans="1:34" ht="15" customHeight="1" outlineLevel="1" x14ac:dyDescent="0.25">
      <c r="A145" s="67"/>
      <c r="B145" s="66"/>
      <c r="C145" s="67" t="s">
        <v>168</v>
      </c>
      <c r="D145" s="68"/>
      <c r="E145" s="68">
        <v>10123.959999999999</v>
      </c>
      <c r="F145" s="68">
        <f t="shared" si="224"/>
        <v>13360.103227939158</v>
      </c>
      <c r="G145" s="69">
        <v>1</v>
      </c>
      <c r="H145" s="67" t="s">
        <v>39</v>
      </c>
      <c r="I145" s="68">
        <f t="shared" si="179"/>
        <v>13360.103227939158</v>
      </c>
      <c r="J145" s="69"/>
      <c r="K145" s="68">
        <f t="shared" si="180"/>
        <v>0</v>
      </c>
      <c r="L145" s="62">
        <f t="shared" si="217"/>
        <v>13360.103227939158</v>
      </c>
      <c r="M145" s="69">
        <f t="shared" si="190"/>
        <v>1</v>
      </c>
      <c r="N145" s="70">
        <f t="shared" ref="N145" si="235">100%-(L145/$F145)</f>
        <v>0</v>
      </c>
      <c r="O145" s="69"/>
      <c r="P145" s="68">
        <f t="shared" si="182"/>
        <v>0</v>
      </c>
      <c r="Q145" s="62">
        <f t="shared" si="218"/>
        <v>13360.103227939158</v>
      </c>
      <c r="R145" s="69">
        <f t="shared" si="191"/>
        <v>1</v>
      </c>
      <c r="S145" s="70">
        <f t="shared" ref="S145" si="236">100%-(Q145/$F145)</f>
        <v>0</v>
      </c>
      <c r="T145" s="69"/>
      <c r="U145" s="68">
        <f t="shared" si="184"/>
        <v>0</v>
      </c>
      <c r="V145" s="62">
        <f t="shared" si="215"/>
        <v>13360.103227939158</v>
      </c>
      <c r="W145" s="69">
        <f t="shared" si="192"/>
        <v>1</v>
      </c>
      <c r="X145" s="70">
        <f t="shared" ref="X145" si="237">100%-(V145/$F145)</f>
        <v>0</v>
      </c>
      <c r="Y145" s="69"/>
      <c r="Z145" s="68">
        <f t="shared" si="186"/>
        <v>0</v>
      </c>
      <c r="AA145" s="68">
        <f t="shared" si="216"/>
        <v>13360.103227939158</v>
      </c>
      <c r="AB145" s="69">
        <f t="shared" si="187"/>
        <v>1</v>
      </c>
      <c r="AC145" s="70">
        <f t="shared" ref="AC145" si="238">100%-(AA145/$F145)</f>
        <v>0</v>
      </c>
      <c r="AD145" s="69"/>
      <c r="AE145" s="68">
        <f>AD145*I145</f>
        <v>0</v>
      </c>
      <c r="AF145" s="68">
        <f>F145-AE145</f>
        <v>13360.103227939158</v>
      </c>
      <c r="AG145" s="69">
        <f>G145-AD145</f>
        <v>1</v>
      </c>
      <c r="AH145" s="70">
        <f t="shared" ref="AH145" si="239">100%-(AF145/$F145)</f>
        <v>0</v>
      </c>
    </row>
    <row r="146" spans="1:34" ht="15" customHeight="1" outlineLevel="2" x14ac:dyDescent="0.25">
      <c r="B146" s="71">
        <v>4430</v>
      </c>
      <c r="C146" s="56" t="s">
        <v>169</v>
      </c>
      <c r="E146" s="73">
        <v>3717.18</v>
      </c>
      <c r="F146" s="74">
        <f t="shared" si="224"/>
        <v>4905.3837151500884</v>
      </c>
      <c r="G146" s="75">
        <v>1</v>
      </c>
      <c r="H146" s="56" t="s">
        <v>39</v>
      </c>
      <c r="I146" s="73">
        <f t="shared" si="179"/>
        <v>4905.3837151500884</v>
      </c>
      <c r="J146" s="69"/>
      <c r="K146" s="68">
        <f t="shared" si="180"/>
        <v>0</v>
      </c>
      <c r="L146" s="62">
        <f t="shared" si="217"/>
        <v>-4905.3837151500884</v>
      </c>
      <c r="M146" s="69">
        <f t="shared" si="190"/>
        <v>-1</v>
      </c>
      <c r="O146" s="69"/>
      <c r="P146" s="68">
        <f t="shared" si="182"/>
        <v>0</v>
      </c>
      <c r="Q146" s="62">
        <f t="shared" si="218"/>
        <v>-4905.3837151500884</v>
      </c>
      <c r="R146" s="69">
        <f t="shared" si="191"/>
        <v>-1</v>
      </c>
      <c r="U146" s="68">
        <f t="shared" si="184"/>
        <v>0</v>
      </c>
      <c r="V146" s="62">
        <f t="shared" si="215"/>
        <v>-4905.3837151500884</v>
      </c>
      <c r="W146" s="69">
        <f t="shared" si="192"/>
        <v>-1</v>
      </c>
      <c r="Y146" s="75">
        <v>1</v>
      </c>
      <c r="Z146" s="68">
        <f t="shared" si="186"/>
        <v>4905.3837151500884</v>
      </c>
      <c r="AA146" s="68">
        <f t="shared" si="216"/>
        <v>-4905.3837151500884</v>
      </c>
      <c r="AB146" s="69">
        <f t="shared" si="187"/>
        <v>-1</v>
      </c>
      <c r="AD146" s="75">
        <f t="shared" ref="AD146:AD151" si="240">$AD$145*G146/$G$145</f>
        <v>0</v>
      </c>
    </row>
    <row r="147" spans="1:34" ht="15" customHeight="1" outlineLevel="2" x14ac:dyDescent="0.25">
      <c r="B147" s="71">
        <v>5490</v>
      </c>
      <c r="C147" s="56" t="s">
        <v>94</v>
      </c>
      <c r="E147" s="73">
        <v>4370</v>
      </c>
      <c r="F147" s="74">
        <f t="shared" si="224"/>
        <v>5766.878880012775</v>
      </c>
      <c r="G147" s="75">
        <v>1</v>
      </c>
      <c r="H147" s="56" t="s">
        <v>34</v>
      </c>
      <c r="I147" s="73">
        <f t="shared" si="179"/>
        <v>5766.878880012775</v>
      </c>
      <c r="J147" s="69"/>
      <c r="K147" s="68">
        <f t="shared" si="180"/>
        <v>0</v>
      </c>
      <c r="L147" s="62">
        <f t="shared" si="217"/>
        <v>-5766.878880012775</v>
      </c>
      <c r="M147" s="69">
        <f t="shared" si="190"/>
        <v>-1</v>
      </c>
      <c r="O147" s="69"/>
      <c r="P147" s="68">
        <f t="shared" si="182"/>
        <v>0</v>
      </c>
      <c r="Q147" s="62">
        <f t="shared" si="218"/>
        <v>-5766.878880012775</v>
      </c>
      <c r="R147" s="69">
        <f t="shared" si="191"/>
        <v>-1</v>
      </c>
      <c r="U147" s="68">
        <f t="shared" si="184"/>
        <v>0</v>
      </c>
      <c r="V147" s="62">
        <f t="shared" si="215"/>
        <v>-5766.878880012775</v>
      </c>
      <c r="W147" s="69">
        <f t="shared" si="192"/>
        <v>-1</v>
      </c>
      <c r="Y147" s="75">
        <v>1</v>
      </c>
      <c r="Z147" s="68">
        <f t="shared" si="186"/>
        <v>5766.878880012775</v>
      </c>
      <c r="AA147" s="68">
        <f t="shared" si="216"/>
        <v>-5766.878880012775</v>
      </c>
      <c r="AB147" s="69">
        <f t="shared" si="187"/>
        <v>-1</v>
      </c>
      <c r="AD147" s="75">
        <f t="shared" si="240"/>
        <v>0</v>
      </c>
    </row>
    <row r="148" spans="1:34" ht="15" customHeight="1" outlineLevel="2" x14ac:dyDescent="0.25">
      <c r="B148" s="71">
        <v>2185</v>
      </c>
      <c r="C148" s="56" t="s">
        <v>51</v>
      </c>
      <c r="E148" s="73">
        <v>158</v>
      </c>
      <c r="F148" s="74">
        <f t="shared" si="224"/>
        <v>208.50500298444356</v>
      </c>
      <c r="G148" s="75">
        <v>8</v>
      </c>
      <c r="H148" s="56" t="s">
        <v>43</v>
      </c>
      <c r="I148" s="73">
        <f t="shared" si="179"/>
        <v>26.063125373055446</v>
      </c>
      <c r="J148" s="69"/>
      <c r="K148" s="68">
        <f t="shared" si="180"/>
        <v>0</v>
      </c>
      <c r="L148" s="62">
        <f t="shared" si="217"/>
        <v>-208.50500298444356</v>
      </c>
      <c r="M148" s="69">
        <f t="shared" si="190"/>
        <v>-8</v>
      </c>
      <c r="O148" s="69"/>
      <c r="P148" s="68">
        <f t="shared" si="182"/>
        <v>0</v>
      </c>
      <c r="Q148" s="62">
        <f t="shared" si="218"/>
        <v>-208.50500298444356</v>
      </c>
      <c r="R148" s="69">
        <f t="shared" si="191"/>
        <v>-8</v>
      </c>
      <c r="U148" s="68">
        <f t="shared" si="184"/>
        <v>0</v>
      </c>
      <c r="V148" s="62">
        <f t="shared" si="215"/>
        <v>-208.50500298444356</v>
      </c>
      <c r="W148" s="69">
        <f t="shared" si="192"/>
        <v>-8</v>
      </c>
      <c r="Y148" s="75">
        <v>8</v>
      </c>
      <c r="Z148" s="68">
        <f t="shared" si="186"/>
        <v>208.50500298444356</v>
      </c>
      <c r="AA148" s="68">
        <f t="shared" si="216"/>
        <v>-208.50500298444356</v>
      </c>
      <c r="AB148" s="69">
        <f t="shared" si="187"/>
        <v>-8</v>
      </c>
      <c r="AD148" s="75">
        <f t="shared" si="240"/>
        <v>0</v>
      </c>
    </row>
    <row r="149" spans="1:34" ht="15" customHeight="1" outlineLevel="2" x14ac:dyDescent="0.25">
      <c r="B149" s="71">
        <v>2149</v>
      </c>
      <c r="C149" s="56" t="s">
        <v>48</v>
      </c>
      <c r="E149" s="73">
        <v>1356.52</v>
      </c>
      <c r="F149" s="74">
        <f t="shared" si="224"/>
        <v>1790.134219294034</v>
      </c>
      <c r="G149" s="75">
        <v>8</v>
      </c>
      <c r="H149" s="56" t="s">
        <v>43</v>
      </c>
      <c r="I149" s="73">
        <f t="shared" si="179"/>
        <v>223.76677741175425</v>
      </c>
      <c r="J149" s="69"/>
      <c r="K149" s="68">
        <f t="shared" si="180"/>
        <v>0</v>
      </c>
      <c r="L149" s="62">
        <f t="shared" si="217"/>
        <v>-1790.134219294034</v>
      </c>
      <c r="M149" s="69">
        <f t="shared" si="190"/>
        <v>-8</v>
      </c>
      <c r="O149" s="69"/>
      <c r="P149" s="68">
        <f t="shared" si="182"/>
        <v>0</v>
      </c>
      <c r="Q149" s="62">
        <f t="shared" si="218"/>
        <v>-1790.134219294034</v>
      </c>
      <c r="R149" s="69">
        <f t="shared" si="191"/>
        <v>-8</v>
      </c>
      <c r="U149" s="68">
        <f t="shared" si="184"/>
        <v>0</v>
      </c>
      <c r="V149" s="62">
        <f t="shared" si="215"/>
        <v>-1790.134219294034</v>
      </c>
      <c r="W149" s="69">
        <f t="shared" si="192"/>
        <v>-8</v>
      </c>
      <c r="Y149" s="75">
        <v>8</v>
      </c>
      <c r="Z149" s="68">
        <f t="shared" si="186"/>
        <v>1790.134219294034</v>
      </c>
      <c r="AA149" s="68">
        <f t="shared" si="216"/>
        <v>-1790.134219294034</v>
      </c>
      <c r="AB149" s="69">
        <f t="shared" si="187"/>
        <v>-8</v>
      </c>
      <c r="AD149" s="75">
        <f t="shared" si="240"/>
        <v>0</v>
      </c>
    </row>
    <row r="150" spans="1:34" ht="15" customHeight="1" outlineLevel="2" x14ac:dyDescent="0.25">
      <c r="B150" s="71">
        <v>2150</v>
      </c>
      <c r="C150" s="56" t="s">
        <v>38</v>
      </c>
      <c r="E150" s="73">
        <v>385.76</v>
      </c>
      <c r="F150" s="74">
        <f t="shared" si="224"/>
        <v>509.06892374227181</v>
      </c>
      <c r="G150" s="75">
        <v>45.5</v>
      </c>
      <c r="H150" s="56" t="s">
        <v>43</v>
      </c>
      <c r="I150" s="73">
        <f t="shared" si="179"/>
        <v>11.188327994335644</v>
      </c>
      <c r="J150" s="69"/>
      <c r="K150" s="68">
        <f t="shared" si="180"/>
        <v>0</v>
      </c>
      <c r="L150" s="62">
        <f t="shared" si="217"/>
        <v>-509.06892374227181</v>
      </c>
      <c r="M150" s="69">
        <f t="shared" si="190"/>
        <v>-45.5</v>
      </c>
      <c r="O150" s="69"/>
      <c r="P150" s="68">
        <f t="shared" si="182"/>
        <v>0</v>
      </c>
      <c r="Q150" s="62">
        <f t="shared" si="218"/>
        <v>-509.06892374227181</v>
      </c>
      <c r="R150" s="69">
        <f t="shared" si="191"/>
        <v>-45.5</v>
      </c>
      <c r="U150" s="68">
        <f t="shared" si="184"/>
        <v>0</v>
      </c>
      <c r="V150" s="62">
        <f t="shared" si="215"/>
        <v>-509.06892374227181</v>
      </c>
      <c r="W150" s="69">
        <f t="shared" si="192"/>
        <v>-45.5</v>
      </c>
      <c r="Y150" s="75">
        <v>45.5</v>
      </c>
      <c r="Z150" s="68">
        <f t="shared" si="186"/>
        <v>509.06892374227181</v>
      </c>
      <c r="AA150" s="68">
        <f t="shared" si="216"/>
        <v>-509.06892374227181</v>
      </c>
      <c r="AB150" s="69">
        <f t="shared" si="187"/>
        <v>-45.5</v>
      </c>
      <c r="AD150" s="75">
        <f t="shared" si="240"/>
        <v>0</v>
      </c>
    </row>
    <row r="151" spans="1:34" ht="15" customHeight="1" outlineLevel="2" x14ac:dyDescent="0.25">
      <c r="B151" s="71">
        <v>2490</v>
      </c>
      <c r="C151" s="56" t="s">
        <v>37</v>
      </c>
      <c r="E151" s="73">
        <v>136.5</v>
      </c>
      <c r="F151" s="74">
        <f t="shared" si="224"/>
        <v>180.13248675554777</v>
      </c>
      <c r="G151" s="75">
        <v>45.5</v>
      </c>
      <c r="H151" s="56" t="s">
        <v>43</v>
      </c>
      <c r="I151" s="73">
        <f t="shared" si="179"/>
        <v>3.9589557528691817</v>
      </c>
      <c r="J151" s="69"/>
      <c r="K151" s="68">
        <f t="shared" si="180"/>
        <v>0</v>
      </c>
      <c r="L151" s="62">
        <f t="shared" si="217"/>
        <v>-180.13248675554777</v>
      </c>
      <c r="M151" s="69">
        <f t="shared" si="190"/>
        <v>-45.5</v>
      </c>
      <c r="O151" s="69"/>
      <c r="P151" s="68">
        <f t="shared" si="182"/>
        <v>0</v>
      </c>
      <c r="Q151" s="62">
        <f t="shared" si="218"/>
        <v>-180.13248675554777</v>
      </c>
      <c r="R151" s="69">
        <f t="shared" si="191"/>
        <v>-45.5</v>
      </c>
      <c r="U151" s="68">
        <f t="shared" si="184"/>
        <v>0</v>
      </c>
      <c r="V151" s="62">
        <f t="shared" si="215"/>
        <v>-180.13248675554777</v>
      </c>
      <c r="W151" s="69">
        <f t="shared" si="192"/>
        <v>-45.5</v>
      </c>
      <c r="Y151" s="75">
        <v>45.5</v>
      </c>
      <c r="Z151" s="68">
        <f t="shared" si="186"/>
        <v>180.13248675554777</v>
      </c>
      <c r="AA151" s="68">
        <f t="shared" si="216"/>
        <v>-180.13248675554777</v>
      </c>
      <c r="AB151" s="69">
        <f t="shared" si="187"/>
        <v>-45.5</v>
      </c>
      <c r="AD151" s="75">
        <f t="shared" si="240"/>
        <v>0</v>
      </c>
    </row>
    <row r="152" spans="1:34" ht="15" customHeight="1" outlineLevel="1" x14ac:dyDescent="0.25">
      <c r="A152" s="67"/>
      <c r="B152" s="66"/>
      <c r="C152" s="67" t="s">
        <v>170</v>
      </c>
      <c r="D152" s="68"/>
      <c r="E152" s="68">
        <v>26582.080000000002</v>
      </c>
      <c r="F152" s="68">
        <f t="shared" si="224"/>
        <v>35079.092846409607</v>
      </c>
      <c r="G152" s="69">
        <v>20</v>
      </c>
      <c r="H152" s="67" t="s">
        <v>132</v>
      </c>
      <c r="I152" s="68">
        <f t="shared" si="179"/>
        <v>1753.9546423204804</v>
      </c>
      <c r="J152" s="69"/>
      <c r="K152" s="68">
        <f t="shared" si="180"/>
        <v>0</v>
      </c>
      <c r="L152" s="62">
        <f t="shared" si="217"/>
        <v>7015.8185692819206</v>
      </c>
      <c r="M152" s="69">
        <f t="shared" si="190"/>
        <v>4</v>
      </c>
      <c r="N152" s="70">
        <f t="shared" ref="N152" si="241">100%-(L152/$F152)</f>
        <v>0.8</v>
      </c>
      <c r="O152" s="69"/>
      <c r="P152" s="68">
        <f t="shared" si="182"/>
        <v>0</v>
      </c>
      <c r="Q152" s="62">
        <f t="shared" si="218"/>
        <v>7015.8185692819206</v>
      </c>
      <c r="R152" s="69">
        <f t="shared" si="191"/>
        <v>4</v>
      </c>
      <c r="S152" s="70">
        <f t="shared" ref="S152" si="242">100%-(Q152/$F152)</f>
        <v>0.8</v>
      </c>
      <c r="T152" s="69">
        <v>6</v>
      </c>
      <c r="U152" s="68">
        <f t="shared" si="184"/>
        <v>10523.727853922883</v>
      </c>
      <c r="V152" s="62">
        <f t="shared" si="215"/>
        <v>7015.8185692819206</v>
      </c>
      <c r="W152" s="69">
        <f t="shared" si="192"/>
        <v>4</v>
      </c>
      <c r="X152" s="70">
        <f t="shared" ref="X152" si="243">100%-(V152/$F152)</f>
        <v>0.8</v>
      </c>
      <c r="Y152" s="69">
        <v>10</v>
      </c>
      <c r="Z152" s="68">
        <f t="shared" si="186"/>
        <v>17539.546423204803</v>
      </c>
      <c r="AA152" s="68">
        <f t="shared" si="216"/>
        <v>17539.546423204803</v>
      </c>
      <c r="AB152" s="69">
        <f t="shared" si="187"/>
        <v>10</v>
      </c>
      <c r="AC152" s="70">
        <f t="shared" ref="AC152" si="244">100%-(AA152/$F152)</f>
        <v>0.5</v>
      </c>
      <c r="AD152" s="69"/>
      <c r="AE152" s="68">
        <f>AD152*I152</f>
        <v>0</v>
      </c>
      <c r="AF152" s="68">
        <f>F152-AE152</f>
        <v>35079.092846409607</v>
      </c>
      <c r="AG152" s="69">
        <f>G152-AD152</f>
        <v>20</v>
      </c>
      <c r="AH152" s="70">
        <f t="shared" ref="AH152" si="245">100%-(AF152/$F152)</f>
        <v>0</v>
      </c>
    </row>
    <row r="153" spans="1:34" ht="15" customHeight="1" outlineLevel="2" x14ac:dyDescent="0.25">
      <c r="B153" s="71">
        <v>2600</v>
      </c>
      <c r="C153" s="56" t="s">
        <v>170</v>
      </c>
      <c r="E153" s="73">
        <v>26582.080000000002</v>
      </c>
      <c r="F153" s="74">
        <f t="shared" si="224"/>
        <v>35079.092846409607</v>
      </c>
      <c r="G153" s="75">
        <v>20</v>
      </c>
      <c r="H153" s="56" t="s">
        <v>132</v>
      </c>
      <c r="I153" s="73">
        <f t="shared" si="179"/>
        <v>1753.9546423204804</v>
      </c>
      <c r="J153" s="69"/>
      <c r="K153" s="68">
        <f t="shared" si="180"/>
        <v>0</v>
      </c>
      <c r="L153" s="62">
        <f t="shared" si="217"/>
        <v>-35079.092846409607</v>
      </c>
      <c r="M153" s="69">
        <f t="shared" si="190"/>
        <v>-20</v>
      </c>
      <c r="O153" s="69"/>
      <c r="P153" s="68">
        <f t="shared" si="182"/>
        <v>0</v>
      </c>
      <c r="Q153" s="62">
        <f t="shared" si="218"/>
        <v>-35079.092846409607</v>
      </c>
      <c r="R153" s="69">
        <f t="shared" si="191"/>
        <v>-20</v>
      </c>
      <c r="U153" s="68">
        <f t="shared" si="184"/>
        <v>0</v>
      </c>
      <c r="V153" s="62">
        <f t="shared" si="215"/>
        <v>-35079.092846409607</v>
      </c>
      <c r="W153" s="69">
        <f t="shared" si="192"/>
        <v>-20</v>
      </c>
      <c r="Y153" s="75">
        <v>20</v>
      </c>
      <c r="Z153" s="68">
        <f t="shared" si="186"/>
        <v>35079.092846409607</v>
      </c>
      <c r="AA153" s="68">
        <f t="shared" si="216"/>
        <v>-35079.092846409607</v>
      </c>
      <c r="AB153" s="69">
        <f t="shared" si="187"/>
        <v>-20</v>
      </c>
      <c r="AD153" s="75">
        <f>AD152</f>
        <v>0</v>
      </c>
    </row>
    <row r="154" spans="1:34" ht="15" customHeight="1" outlineLevel="1" x14ac:dyDescent="0.25">
      <c r="A154" s="67"/>
      <c r="B154" s="66"/>
      <c r="C154" s="67" t="s">
        <v>172</v>
      </c>
      <c r="D154" s="68"/>
      <c r="E154" s="68">
        <v>28713.200000000001</v>
      </c>
      <c r="F154" s="68">
        <f t="shared" si="224"/>
        <v>37891.429441094464</v>
      </c>
      <c r="G154" s="69">
        <v>40</v>
      </c>
      <c r="H154" s="67" t="s">
        <v>39</v>
      </c>
      <c r="I154" s="68">
        <f t="shared" si="179"/>
        <v>947.28573602736162</v>
      </c>
      <c r="J154" s="69"/>
      <c r="K154" s="68">
        <f t="shared" si="180"/>
        <v>0</v>
      </c>
      <c r="L154" s="62">
        <f t="shared" si="217"/>
        <v>7578.2858882188921</v>
      </c>
      <c r="M154" s="69">
        <f t="shared" si="190"/>
        <v>8</v>
      </c>
      <c r="N154" s="70">
        <f t="shared" ref="N154" si="246">100%-(L154/$F154)</f>
        <v>0.8</v>
      </c>
      <c r="O154" s="69"/>
      <c r="P154" s="68">
        <f t="shared" si="182"/>
        <v>0</v>
      </c>
      <c r="Q154" s="62">
        <f t="shared" si="218"/>
        <v>7578.2858882188921</v>
      </c>
      <c r="R154" s="69">
        <f t="shared" si="191"/>
        <v>8</v>
      </c>
      <c r="S154" s="70">
        <f t="shared" ref="S154" si="247">100%-(Q154/$F154)</f>
        <v>0.8</v>
      </c>
      <c r="T154" s="69">
        <v>12</v>
      </c>
      <c r="U154" s="68">
        <f t="shared" si="184"/>
        <v>11367.42883232834</v>
      </c>
      <c r="V154" s="62">
        <f t="shared" si="215"/>
        <v>7578.2858882188921</v>
      </c>
      <c r="W154" s="69">
        <f t="shared" si="192"/>
        <v>8</v>
      </c>
      <c r="X154" s="70">
        <f t="shared" ref="X154" si="248">100%-(V154/$F154)</f>
        <v>0.8</v>
      </c>
      <c r="Y154" s="69">
        <v>20</v>
      </c>
      <c r="Z154" s="68">
        <f t="shared" si="186"/>
        <v>18945.714720547232</v>
      </c>
      <c r="AA154" s="68">
        <f t="shared" si="216"/>
        <v>18945.714720547232</v>
      </c>
      <c r="AB154" s="69">
        <f t="shared" si="187"/>
        <v>20</v>
      </c>
      <c r="AC154" s="70">
        <f t="shared" ref="AC154" si="249">100%-(AA154/$F154)</f>
        <v>0.5</v>
      </c>
      <c r="AD154" s="69"/>
      <c r="AE154" s="68">
        <f>AD154*I154</f>
        <v>0</v>
      </c>
      <c r="AF154" s="68">
        <f>F154-AE154</f>
        <v>37891.429441094464</v>
      </c>
      <c r="AG154" s="69">
        <f>G154-AD154</f>
        <v>40</v>
      </c>
      <c r="AH154" s="70">
        <f t="shared" ref="AH154" si="250">100%-(AF154/$F154)</f>
        <v>0</v>
      </c>
    </row>
    <row r="155" spans="1:34" ht="15" customHeight="1" outlineLevel="2" x14ac:dyDescent="0.25">
      <c r="B155" s="71">
        <v>2105</v>
      </c>
      <c r="C155" s="56" t="s">
        <v>49</v>
      </c>
      <c r="E155" s="73">
        <v>12457.49</v>
      </c>
      <c r="F155" s="74">
        <f t="shared" si="224"/>
        <v>16439.5505672701</v>
      </c>
      <c r="G155" s="75">
        <v>40</v>
      </c>
      <c r="H155" s="56" t="s">
        <v>39</v>
      </c>
      <c r="I155" s="73">
        <f t="shared" si="179"/>
        <v>410.98876418175252</v>
      </c>
      <c r="J155" s="75" t="e">
        <f>$AD$154*#REF!/$G$154</f>
        <v>#REF!</v>
      </c>
      <c r="L155" s="62">
        <f t="shared" si="217"/>
        <v>0</v>
      </c>
      <c r="M155" s="69" t="e">
        <f t="shared" si="190"/>
        <v>#REF!</v>
      </c>
      <c r="Q155" s="62">
        <f t="shared" si="218"/>
        <v>0</v>
      </c>
      <c r="R155" s="69">
        <f t="shared" si="191"/>
        <v>0</v>
      </c>
      <c r="V155" s="62">
        <f t="shared" si="215"/>
        <v>0</v>
      </c>
      <c r="W155" s="69">
        <f t="shared" si="192"/>
        <v>0</v>
      </c>
      <c r="Y155" s="75">
        <f t="shared" ref="Y155:Y160" si="251">$AD$154*B155/$G$154</f>
        <v>0</v>
      </c>
      <c r="AA155" s="68">
        <f t="shared" si="216"/>
        <v>0</v>
      </c>
      <c r="AB155" s="69">
        <f t="shared" si="187"/>
        <v>0</v>
      </c>
      <c r="AD155" s="75">
        <f t="shared" ref="AD155:AD160" si="252">$AD$154*G155/$G$154</f>
        <v>0</v>
      </c>
    </row>
    <row r="156" spans="1:34" ht="15" customHeight="1" outlineLevel="2" x14ac:dyDescent="0.25">
      <c r="B156" s="71">
        <v>2187</v>
      </c>
      <c r="C156" s="56" t="s">
        <v>173</v>
      </c>
      <c r="E156" s="73">
        <v>8160</v>
      </c>
      <c r="F156" s="74">
        <f t="shared" si="224"/>
        <v>10768.359647804175</v>
      </c>
      <c r="G156" s="75">
        <v>40</v>
      </c>
      <c r="H156" s="56" t="s">
        <v>39</v>
      </c>
      <c r="I156" s="73">
        <f t="shared" si="179"/>
        <v>269.20899119510437</v>
      </c>
      <c r="J156" s="75" t="e">
        <f>$AD$154*#REF!/$G$154</f>
        <v>#REF!</v>
      </c>
      <c r="L156" s="62">
        <f t="shared" si="217"/>
        <v>0</v>
      </c>
      <c r="M156" s="69" t="e">
        <f t="shared" si="190"/>
        <v>#REF!</v>
      </c>
      <c r="Q156" s="62">
        <f t="shared" si="218"/>
        <v>0</v>
      </c>
      <c r="R156" s="69">
        <f t="shared" si="191"/>
        <v>0</v>
      </c>
      <c r="V156" s="62">
        <f t="shared" si="215"/>
        <v>0</v>
      </c>
      <c r="W156" s="69">
        <f t="shared" si="192"/>
        <v>0</v>
      </c>
      <c r="Y156" s="75">
        <f t="shared" si="251"/>
        <v>0</v>
      </c>
      <c r="AA156" s="68">
        <f t="shared" si="216"/>
        <v>0</v>
      </c>
      <c r="AB156" s="69">
        <f t="shared" si="187"/>
        <v>0</v>
      </c>
      <c r="AD156" s="75">
        <f t="shared" si="252"/>
        <v>0</v>
      </c>
    </row>
    <row r="157" spans="1:34" ht="15" customHeight="1" outlineLevel="2" x14ac:dyDescent="0.25">
      <c r="B157" s="71">
        <v>2149</v>
      </c>
      <c r="C157" s="56" t="s">
        <v>48</v>
      </c>
      <c r="E157" s="73">
        <v>3391.3</v>
      </c>
      <c r="F157" s="74">
        <f t="shared" si="224"/>
        <v>4475.3355482350853</v>
      </c>
      <c r="G157" s="75">
        <v>40</v>
      </c>
      <c r="H157" s="56" t="s">
        <v>39</v>
      </c>
      <c r="I157" s="73">
        <f t="shared" si="179"/>
        <v>111.88338870587714</v>
      </c>
      <c r="J157" s="75" t="e">
        <f>$AD$154*#REF!/$G$154</f>
        <v>#REF!</v>
      </c>
      <c r="L157" s="62">
        <f t="shared" si="217"/>
        <v>0</v>
      </c>
      <c r="M157" s="69" t="e">
        <f t="shared" si="190"/>
        <v>#REF!</v>
      </c>
      <c r="Q157" s="62">
        <f t="shared" si="218"/>
        <v>0</v>
      </c>
      <c r="R157" s="69">
        <f t="shared" si="191"/>
        <v>0</v>
      </c>
      <c r="V157" s="62">
        <f t="shared" si="215"/>
        <v>0</v>
      </c>
      <c r="W157" s="69">
        <f t="shared" si="192"/>
        <v>0</v>
      </c>
      <c r="Y157" s="75">
        <f t="shared" si="251"/>
        <v>0</v>
      </c>
      <c r="AA157" s="68">
        <f t="shared" si="216"/>
        <v>0</v>
      </c>
      <c r="AB157" s="69">
        <f t="shared" si="187"/>
        <v>0</v>
      </c>
      <c r="AD157" s="75">
        <f t="shared" si="252"/>
        <v>0</v>
      </c>
    </row>
    <row r="158" spans="1:34" ht="15" customHeight="1" outlineLevel="2" x14ac:dyDescent="0.25">
      <c r="B158" s="71">
        <v>6480</v>
      </c>
      <c r="C158" s="56" t="s">
        <v>96</v>
      </c>
      <c r="E158" s="73">
        <v>113.1</v>
      </c>
      <c r="F158" s="74">
        <f t="shared" si="224"/>
        <v>149.25263188316814</v>
      </c>
      <c r="G158" s="75">
        <v>1</v>
      </c>
      <c r="H158" s="56" t="s">
        <v>34</v>
      </c>
      <c r="I158" s="73">
        <f t="shared" si="179"/>
        <v>149.25263188316814</v>
      </c>
      <c r="J158" s="75" t="e">
        <f>$AD$154*#REF!/$G$154</f>
        <v>#REF!</v>
      </c>
      <c r="L158" s="62">
        <f t="shared" si="217"/>
        <v>0</v>
      </c>
      <c r="M158" s="69" t="e">
        <f t="shared" si="190"/>
        <v>#REF!</v>
      </c>
      <c r="Q158" s="62">
        <f t="shared" si="218"/>
        <v>0</v>
      </c>
      <c r="R158" s="69">
        <f t="shared" si="191"/>
        <v>0</v>
      </c>
      <c r="V158" s="62">
        <f t="shared" si="215"/>
        <v>0</v>
      </c>
      <c r="W158" s="69">
        <f t="shared" si="192"/>
        <v>0</v>
      </c>
      <c r="Y158" s="75">
        <f t="shared" si="251"/>
        <v>0</v>
      </c>
      <c r="AA158" s="68">
        <f t="shared" si="216"/>
        <v>0</v>
      </c>
      <c r="AB158" s="69">
        <f t="shared" si="187"/>
        <v>0</v>
      </c>
      <c r="AD158" s="75">
        <f t="shared" si="252"/>
        <v>0</v>
      </c>
    </row>
    <row r="159" spans="1:34" ht="15" customHeight="1" outlineLevel="2" x14ac:dyDescent="0.25">
      <c r="B159" s="71">
        <v>2150</v>
      </c>
      <c r="C159" s="56" t="s">
        <v>38</v>
      </c>
      <c r="E159" s="73">
        <v>3391.3</v>
      </c>
      <c r="F159" s="74">
        <f t="shared" si="224"/>
        <v>4475.3355482350853</v>
      </c>
      <c r="G159" s="75">
        <v>400</v>
      </c>
      <c r="H159" s="56" t="s">
        <v>43</v>
      </c>
      <c r="I159" s="73">
        <f t="shared" si="179"/>
        <v>11.188338870587714</v>
      </c>
      <c r="J159" s="75" t="e">
        <f>$AD$154*#REF!/$G$154</f>
        <v>#REF!</v>
      </c>
      <c r="L159" s="62">
        <f t="shared" si="217"/>
        <v>0</v>
      </c>
      <c r="M159" s="69" t="e">
        <f t="shared" si="190"/>
        <v>#REF!</v>
      </c>
      <c r="Q159" s="62">
        <f t="shared" si="218"/>
        <v>0</v>
      </c>
      <c r="R159" s="69">
        <f t="shared" si="191"/>
        <v>0</v>
      </c>
      <c r="V159" s="62">
        <f t="shared" si="215"/>
        <v>0</v>
      </c>
      <c r="W159" s="69">
        <f t="shared" si="192"/>
        <v>0</v>
      </c>
      <c r="Y159" s="75">
        <f t="shared" si="251"/>
        <v>0</v>
      </c>
      <c r="AA159" s="68">
        <f t="shared" si="216"/>
        <v>0</v>
      </c>
      <c r="AB159" s="69">
        <f t="shared" si="187"/>
        <v>0</v>
      </c>
      <c r="AD159" s="75">
        <f t="shared" si="252"/>
        <v>0</v>
      </c>
    </row>
    <row r="160" spans="1:34" ht="15" customHeight="1" outlineLevel="2" x14ac:dyDescent="0.25">
      <c r="B160" s="71">
        <v>2490</v>
      </c>
      <c r="C160" s="56" t="s">
        <v>37</v>
      </c>
      <c r="E160" s="73">
        <v>1200</v>
      </c>
      <c r="F160" s="74">
        <f t="shared" si="224"/>
        <v>1583.5823011476728</v>
      </c>
      <c r="G160" s="75">
        <v>400</v>
      </c>
      <c r="H160" s="56" t="s">
        <v>43</v>
      </c>
      <c r="I160" s="73">
        <f t="shared" si="179"/>
        <v>3.9589557528691817</v>
      </c>
      <c r="J160" s="75" t="e">
        <f>$AD$154*#REF!/$G$154</f>
        <v>#REF!</v>
      </c>
      <c r="L160" s="62">
        <f t="shared" si="217"/>
        <v>0</v>
      </c>
      <c r="M160" s="69" t="e">
        <f t="shared" si="190"/>
        <v>#REF!</v>
      </c>
      <c r="Q160" s="62">
        <f t="shared" si="218"/>
        <v>0</v>
      </c>
      <c r="R160" s="69">
        <f t="shared" si="191"/>
        <v>0</v>
      </c>
      <c r="V160" s="62">
        <f t="shared" si="215"/>
        <v>0</v>
      </c>
      <c r="W160" s="69">
        <f t="shared" si="192"/>
        <v>0</v>
      </c>
      <c r="Y160" s="75">
        <f t="shared" si="251"/>
        <v>0</v>
      </c>
      <c r="AA160" s="68">
        <f t="shared" si="216"/>
        <v>0</v>
      </c>
      <c r="AB160" s="69">
        <f t="shared" si="187"/>
        <v>0</v>
      </c>
      <c r="AD160" s="75">
        <f t="shared" si="252"/>
        <v>0</v>
      </c>
    </row>
    <row r="161" spans="1:34" ht="15" customHeight="1" outlineLevel="1" x14ac:dyDescent="0.25">
      <c r="A161" s="79"/>
      <c r="B161" s="80"/>
      <c r="C161" s="79" t="s">
        <v>174</v>
      </c>
      <c r="D161" s="81"/>
      <c r="E161" s="81">
        <v>246594.95</v>
      </c>
      <c r="F161" s="81">
        <f t="shared" si="224"/>
        <v>325419.49864366278</v>
      </c>
      <c r="G161" s="82"/>
      <c r="H161" s="79"/>
      <c r="I161" s="81"/>
      <c r="J161" s="82"/>
      <c r="K161" s="81">
        <f>SUM(K162,K168,K174,K180,K186,K192,K199,K206,K212,K218,K224,K230)</f>
        <v>0</v>
      </c>
      <c r="L161" s="62">
        <f t="shared" si="217"/>
        <v>240500.15878938657</v>
      </c>
      <c r="M161" s="69">
        <f t="shared" si="190"/>
        <v>0</v>
      </c>
      <c r="N161" s="83"/>
      <c r="O161" s="82"/>
      <c r="P161" s="81">
        <f>SUM(P162,P168,P174,P180,P186,P192,P199,P206,P212,P218,P224,P230)</f>
        <v>49758.741556934721</v>
      </c>
      <c r="Q161" s="62">
        <f t="shared" si="218"/>
        <v>240500.15878938657</v>
      </c>
      <c r="R161" s="69">
        <f t="shared" si="191"/>
        <v>0</v>
      </c>
      <c r="S161" s="83"/>
      <c r="T161" s="82"/>
      <c r="U161" s="81">
        <f>SUM(U162,U168,U174,U180,U186,U192,U199,U206,U212,U218,U224,U230)</f>
        <v>32216.29736534517</v>
      </c>
      <c r="V161" s="62">
        <f t="shared" si="215"/>
        <v>290258.90034632129</v>
      </c>
      <c r="W161" s="69">
        <f t="shared" si="192"/>
        <v>0</v>
      </c>
      <c r="X161" s="83"/>
      <c r="Y161" s="82"/>
      <c r="Z161" s="81">
        <f>SUM(Z162,Z168,Z174,Z180,Z186,Z192,Z199,Z206,Z212,Z218,Z224,Z230)</f>
        <v>2944.314128515457</v>
      </c>
      <c r="AA161" s="68">
        <f t="shared" si="216"/>
        <v>322475.19771166646</v>
      </c>
      <c r="AB161" s="69">
        <f t="shared" si="187"/>
        <v>0</v>
      </c>
      <c r="AC161" s="83"/>
      <c r="AD161" s="82"/>
      <c r="AE161" s="81">
        <f>SUM(AE162,AE168,AE174,AE180,AE186,AE192,AE199,AE206,AE212,AE218,AE224,AE230)</f>
        <v>0</v>
      </c>
      <c r="AF161" s="81">
        <f>SUM(AF162,AF168,AF174,AF180,AF186,AF192,AF199,AF206,AF212,AF218,AF224,AF230)</f>
        <v>325419.51184018195</v>
      </c>
      <c r="AG161" s="82"/>
      <c r="AH161" s="83"/>
    </row>
    <row r="162" spans="1:34" ht="15" customHeight="1" outlineLevel="1" x14ac:dyDescent="0.25">
      <c r="A162" s="67"/>
      <c r="B162" s="66"/>
      <c r="C162" s="67" t="s">
        <v>175</v>
      </c>
      <c r="D162" s="68"/>
      <c r="E162" s="68">
        <v>1790.83</v>
      </c>
      <c r="F162" s="68">
        <f t="shared" si="224"/>
        <v>2363.2722436369054</v>
      </c>
      <c r="G162" s="69">
        <v>25</v>
      </c>
      <c r="H162" s="67" t="s">
        <v>40</v>
      </c>
      <c r="I162" s="68">
        <f t="shared" ref="I162:I225" si="253">F162/G162</f>
        <v>94.530889745476216</v>
      </c>
      <c r="J162" s="69"/>
      <c r="K162" s="68">
        <f t="shared" ref="K162:K225" si="254">+J162*$I162</f>
        <v>0</v>
      </c>
      <c r="L162" s="62">
        <f t="shared" si="217"/>
        <v>2363.2722436369054</v>
      </c>
      <c r="M162" s="69">
        <f t="shared" si="190"/>
        <v>25</v>
      </c>
      <c r="N162" s="70">
        <f t="shared" ref="N162" si="255">100%-(L162/$F162)</f>
        <v>0</v>
      </c>
      <c r="O162" s="69"/>
      <c r="P162" s="68">
        <f t="shared" ref="P162:P225" si="256">+O162*$I162</f>
        <v>0</v>
      </c>
      <c r="Q162" s="62">
        <f t="shared" si="218"/>
        <v>2363.2722436369054</v>
      </c>
      <c r="R162" s="69">
        <f t="shared" si="191"/>
        <v>25</v>
      </c>
      <c r="S162" s="70">
        <f t="shared" ref="S162" si="257">100%-(Q162/$F162)</f>
        <v>0</v>
      </c>
      <c r="T162" s="69"/>
      <c r="U162" s="68">
        <f t="shared" ref="U162:U225" si="258">+T162*$I162</f>
        <v>0</v>
      </c>
      <c r="V162" s="62">
        <f t="shared" si="215"/>
        <v>2363.2722436369054</v>
      </c>
      <c r="W162" s="69">
        <f t="shared" si="192"/>
        <v>25</v>
      </c>
      <c r="X162" s="70">
        <f t="shared" ref="X162" si="259">100%-(V162/$F162)</f>
        <v>0</v>
      </c>
      <c r="Y162" s="69"/>
      <c r="Z162" s="68">
        <f t="shared" ref="Z162:Z193" si="260">+Y162*I162</f>
        <v>0</v>
      </c>
      <c r="AA162" s="68">
        <f t="shared" si="216"/>
        <v>2363.2722436369054</v>
      </c>
      <c r="AB162" s="69">
        <f t="shared" si="187"/>
        <v>25</v>
      </c>
      <c r="AC162" s="70">
        <f t="shared" ref="AC162" si="261">100%-(AA162/$F162)</f>
        <v>0</v>
      </c>
      <c r="AD162" s="69"/>
      <c r="AE162" s="68">
        <f>AD162*I162</f>
        <v>0</v>
      </c>
      <c r="AF162" s="68">
        <f>F162-AE162</f>
        <v>2363.2722436369054</v>
      </c>
      <c r="AG162" s="69">
        <f>G162-AD162</f>
        <v>25</v>
      </c>
      <c r="AH162" s="70">
        <f t="shared" ref="AH162" si="262">100%-(AF162/$F162)</f>
        <v>0</v>
      </c>
    </row>
    <row r="163" spans="1:34" ht="15" customHeight="1" outlineLevel="2" x14ac:dyDescent="0.25">
      <c r="B163" s="71">
        <v>5004</v>
      </c>
      <c r="C163" s="56" t="s">
        <v>56</v>
      </c>
      <c r="E163" s="73">
        <v>1438.88</v>
      </c>
      <c r="F163" s="74">
        <f t="shared" si="224"/>
        <v>1898.8207512294696</v>
      </c>
      <c r="G163" s="75">
        <v>25</v>
      </c>
      <c r="H163" s="56" t="s">
        <v>40</v>
      </c>
      <c r="I163" s="73">
        <f t="shared" si="253"/>
        <v>75.952830049178786</v>
      </c>
      <c r="J163" s="69"/>
      <c r="K163" s="68">
        <f t="shared" si="254"/>
        <v>0</v>
      </c>
      <c r="L163" s="62">
        <f t="shared" si="217"/>
        <v>0</v>
      </c>
      <c r="M163" s="69">
        <f t="shared" si="190"/>
        <v>0</v>
      </c>
      <c r="O163" s="69"/>
      <c r="P163" s="68">
        <f t="shared" si="256"/>
        <v>0</v>
      </c>
      <c r="Q163" s="62">
        <f t="shared" si="218"/>
        <v>0</v>
      </c>
      <c r="R163" s="69">
        <f t="shared" si="191"/>
        <v>0</v>
      </c>
      <c r="U163" s="68">
        <f t="shared" si="258"/>
        <v>0</v>
      </c>
      <c r="V163" s="62">
        <f t="shared" si="215"/>
        <v>0</v>
      </c>
      <c r="W163" s="69">
        <f t="shared" si="192"/>
        <v>0</v>
      </c>
      <c r="Y163" s="75">
        <f>$AD$162*B163/$G$162</f>
        <v>0</v>
      </c>
      <c r="Z163" s="68">
        <f t="shared" si="260"/>
        <v>0</v>
      </c>
      <c r="AA163" s="68">
        <f t="shared" si="216"/>
        <v>0</v>
      </c>
      <c r="AB163" s="69">
        <f t="shared" si="187"/>
        <v>0</v>
      </c>
      <c r="AD163" s="75">
        <f>$AD$162*G163/$G$162</f>
        <v>0</v>
      </c>
    </row>
    <row r="164" spans="1:34" ht="15" customHeight="1" outlineLevel="2" x14ac:dyDescent="0.25">
      <c r="B164" s="71">
        <v>2185</v>
      </c>
      <c r="C164" s="56" t="s">
        <v>51</v>
      </c>
      <c r="E164" s="73">
        <v>190.58</v>
      </c>
      <c r="F164" s="74">
        <f t="shared" si="224"/>
        <v>251.49926246060289</v>
      </c>
      <c r="G164" s="75">
        <v>9.65</v>
      </c>
      <c r="H164" s="56" t="s">
        <v>43</v>
      </c>
      <c r="I164" s="73">
        <f t="shared" si="253"/>
        <v>26.06209973685004</v>
      </c>
      <c r="J164" s="69"/>
      <c r="K164" s="68">
        <f t="shared" si="254"/>
        <v>0</v>
      </c>
      <c r="L164" s="62">
        <f t="shared" si="217"/>
        <v>0</v>
      </c>
      <c r="M164" s="69">
        <f t="shared" si="190"/>
        <v>0</v>
      </c>
      <c r="O164" s="69"/>
      <c r="P164" s="68">
        <f t="shared" si="256"/>
        <v>0</v>
      </c>
      <c r="Q164" s="62">
        <f t="shared" si="218"/>
        <v>0</v>
      </c>
      <c r="R164" s="69">
        <f t="shared" si="191"/>
        <v>0</v>
      </c>
      <c r="U164" s="68">
        <f t="shared" si="258"/>
        <v>0</v>
      </c>
      <c r="V164" s="62">
        <f t="shared" si="215"/>
        <v>0</v>
      </c>
      <c r="W164" s="69">
        <f t="shared" si="192"/>
        <v>0</v>
      </c>
      <c r="Y164" s="75">
        <f>$AD$162*B164/$G$162</f>
        <v>0</v>
      </c>
      <c r="Z164" s="68">
        <f t="shared" si="260"/>
        <v>0</v>
      </c>
      <c r="AA164" s="68">
        <f t="shared" si="216"/>
        <v>0</v>
      </c>
      <c r="AB164" s="69">
        <f t="shared" si="187"/>
        <v>0</v>
      </c>
      <c r="AD164" s="75">
        <f>$AD$162*G164/$G$162</f>
        <v>0</v>
      </c>
    </row>
    <row r="165" spans="1:34" ht="15" customHeight="1" outlineLevel="2" x14ac:dyDescent="0.25">
      <c r="B165" s="71">
        <v>2149</v>
      </c>
      <c r="C165" s="56" t="s">
        <v>48</v>
      </c>
      <c r="E165" s="73">
        <v>81.81</v>
      </c>
      <c r="F165" s="74">
        <f t="shared" si="224"/>
        <v>107.96072338074259</v>
      </c>
      <c r="G165" s="75">
        <v>9.65</v>
      </c>
      <c r="H165" s="56" t="s">
        <v>43</v>
      </c>
      <c r="I165" s="73">
        <f t="shared" si="253"/>
        <v>11.187639728574361</v>
      </c>
      <c r="J165" s="69"/>
      <c r="K165" s="68">
        <f t="shared" si="254"/>
        <v>0</v>
      </c>
      <c r="L165" s="62">
        <f t="shared" si="217"/>
        <v>0</v>
      </c>
      <c r="M165" s="69">
        <f t="shared" si="190"/>
        <v>0</v>
      </c>
      <c r="O165" s="69"/>
      <c r="P165" s="68">
        <f t="shared" si="256"/>
        <v>0</v>
      </c>
      <c r="Q165" s="62">
        <f t="shared" si="218"/>
        <v>0</v>
      </c>
      <c r="R165" s="69">
        <f t="shared" si="191"/>
        <v>0</v>
      </c>
      <c r="U165" s="68">
        <f t="shared" si="258"/>
        <v>0</v>
      </c>
      <c r="V165" s="62">
        <f t="shared" si="215"/>
        <v>0</v>
      </c>
      <c r="W165" s="69">
        <f t="shared" si="192"/>
        <v>0</v>
      </c>
      <c r="Y165" s="75">
        <f>$AD$162*B165/$G$162</f>
        <v>0</v>
      </c>
      <c r="Z165" s="68">
        <f t="shared" si="260"/>
        <v>0</v>
      </c>
      <c r="AA165" s="68">
        <f t="shared" si="216"/>
        <v>0</v>
      </c>
      <c r="AB165" s="69">
        <f t="shared" si="187"/>
        <v>0</v>
      </c>
      <c r="AD165" s="75">
        <f>$AD$162*G165/$G$162</f>
        <v>0</v>
      </c>
    </row>
    <row r="166" spans="1:34" ht="15" customHeight="1" outlineLevel="2" x14ac:dyDescent="0.25">
      <c r="B166" s="71">
        <v>2150</v>
      </c>
      <c r="C166" s="56" t="s">
        <v>38</v>
      </c>
      <c r="E166" s="73">
        <v>58.77</v>
      </c>
      <c r="F166" s="74">
        <f t="shared" si="224"/>
        <v>77.555943198707268</v>
      </c>
      <c r="G166" s="75">
        <v>6.93</v>
      </c>
      <c r="H166" s="56" t="s">
        <v>43</v>
      </c>
      <c r="I166" s="73">
        <f t="shared" si="253"/>
        <v>11.191333794907255</v>
      </c>
      <c r="J166" s="69"/>
      <c r="K166" s="68">
        <f t="shared" si="254"/>
        <v>0</v>
      </c>
      <c r="L166" s="62">
        <f t="shared" si="217"/>
        <v>0</v>
      </c>
      <c r="M166" s="69">
        <f t="shared" si="190"/>
        <v>0</v>
      </c>
      <c r="O166" s="69"/>
      <c r="P166" s="68">
        <f t="shared" si="256"/>
        <v>0</v>
      </c>
      <c r="Q166" s="62">
        <f t="shared" si="218"/>
        <v>0</v>
      </c>
      <c r="R166" s="69">
        <f t="shared" si="191"/>
        <v>0</v>
      </c>
      <c r="U166" s="68">
        <f t="shared" si="258"/>
        <v>0</v>
      </c>
      <c r="V166" s="62">
        <f t="shared" si="215"/>
        <v>0</v>
      </c>
      <c r="W166" s="69">
        <f t="shared" si="192"/>
        <v>0</v>
      </c>
      <c r="Y166" s="75">
        <f>$AD$162*B166/$G$162</f>
        <v>0</v>
      </c>
      <c r="Z166" s="68">
        <f t="shared" si="260"/>
        <v>0</v>
      </c>
      <c r="AA166" s="68">
        <f t="shared" si="216"/>
        <v>0</v>
      </c>
      <c r="AB166" s="69">
        <f t="shared" si="187"/>
        <v>0</v>
      </c>
      <c r="AD166" s="75">
        <f>$AD$162*G166/$G$162</f>
        <v>0</v>
      </c>
    </row>
    <row r="167" spans="1:34" ht="15" customHeight="1" outlineLevel="2" x14ac:dyDescent="0.25">
      <c r="B167" s="71">
        <v>2490</v>
      </c>
      <c r="C167" s="56" t="s">
        <v>37</v>
      </c>
      <c r="E167" s="73">
        <v>20.79</v>
      </c>
      <c r="F167" s="74">
        <f t="shared" si="224"/>
        <v>27.435563367383427</v>
      </c>
      <c r="G167" s="75">
        <v>6.93</v>
      </c>
      <c r="H167" s="56" t="s">
        <v>43</v>
      </c>
      <c r="I167" s="73">
        <f t="shared" si="253"/>
        <v>3.9589557528691817</v>
      </c>
      <c r="J167" s="69"/>
      <c r="K167" s="68">
        <f t="shared" si="254"/>
        <v>0</v>
      </c>
      <c r="L167" s="62">
        <f t="shared" si="217"/>
        <v>0</v>
      </c>
      <c r="M167" s="69">
        <f t="shared" si="190"/>
        <v>0</v>
      </c>
      <c r="O167" s="69"/>
      <c r="P167" s="68">
        <f t="shared" si="256"/>
        <v>0</v>
      </c>
      <c r="Q167" s="62">
        <f t="shared" si="218"/>
        <v>0</v>
      </c>
      <c r="R167" s="69">
        <f t="shared" si="191"/>
        <v>0</v>
      </c>
      <c r="U167" s="68">
        <f t="shared" si="258"/>
        <v>0</v>
      </c>
      <c r="V167" s="62">
        <f t="shared" si="215"/>
        <v>0</v>
      </c>
      <c r="W167" s="69">
        <f t="shared" si="192"/>
        <v>0</v>
      </c>
      <c r="Y167" s="75">
        <f>$AD$162*B167/$G$162</f>
        <v>0</v>
      </c>
      <c r="Z167" s="68">
        <f t="shared" si="260"/>
        <v>0</v>
      </c>
      <c r="AA167" s="68">
        <f t="shared" si="216"/>
        <v>0</v>
      </c>
      <c r="AB167" s="69">
        <f t="shared" si="187"/>
        <v>0</v>
      </c>
      <c r="AD167" s="75">
        <f>$AD$162*G167/$G$162</f>
        <v>0</v>
      </c>
    </row>
    <row r="168" spans="1:34" ht="15" customHeight="1" outlineLevel="1" x14ac:dyDescent="0.25">
      <c r="A168" s="67"/>
      <c r="B168" s="66"/>
      <c r="C168" s="67" t="s">
        <v>176</v>
      </c>
      <c r="D168" s="68"/>
      <c r="E168" s="68">
        <v>7420.97</v>
      </c>
      <c r="F168" s="68">
        <f t="shared" si="224"/>
        <v>9793.0972911232038</v>
      </c>
      <c r="G168" s="69">
        <v>100</v>
      </c>
      <c r="H168" s="67" t="s">
        <v>40</v>
      </c>
      <c r="I168" s="68">
        <f t="shared" si="253"/>
        <v>97.930972911232033</v>
      </c>
      <c r="J168" s="69"/>
      <c r="K168" s="68">
        <f t="shared" si="254"/>
        <v>0</v>
      </c>
      <c r="L168" s="62">
        <f t="shared" si="217"/>
        <v>6855.1681037862418</v>
      </c>
      <c r="M168" s="69">
        <f t="shared" si="190"/>
        <v>70</v>
      </c>
      <c r="N168" s="70">
        <f t="shared" ref="N168" si="263">100%-(L168/$F168)</f>
        <v>0.30000000000000004</v>
      </c>
      <c r="O168" s="69">
        <v>19</v>
      </c>
      <c r="P168" s="68">
        <f t="shared" si="256"/>
        <v>1860.6884853134086</v>
      </c>
      <c r="Q168" s="62">
        <f t="shared" si="218"/>
        <v>6855.1681037862418</v>
      </c>
      <c r="R168" s="69">
        <f t="shared" si="191"/>
        <v>70</v>
      </c>
      <c r="S168" s="70">
        <f t="shared" ref="S168" si="264">100%-(Q168/$F168)</f>
        <v>0.30000000000000004</v>
      </c>
      <c r="T168" s="69">
        <v>11</v>
      </c>
      <c r="U168" s="68">
        <f t="shared" si="258"/>
        <v>1077.2407020235523</v>
      </c>
      <c r="V168" s="62">
        <f t="shared" si="215"/>
        <v>8715.8565890996506</v>
      </c>
      <c r="W168" s="69">
        <f t="shared" si="192"/>
        <v>89</v>
      </c>
      <c r="X168" s="70">
        <f t="shared" ref="X168" si="265">100%-(V168/$F168)</f>
        <v>0.1100000000000001</v>
      </c>
      <c r="Y168" s="69"/>
      <c r="Z168" s="68">
        <f t="shared" si="260"/>
        <v>0</v>
      </c>
      <c r="AA168" s="68">
        <f t="shared" si="216"/>
        <v>9793.0972911232038</v>
      </c>
      <c r="AB168" s="69">
        <f t="shared" si="187"/>
        <v>100</v>
      </c>
      <c r="AC168" s="70">
        <f t="shared" ref="AC168" si="266">100%-(AA168/$F168)</f>
        <v>0</v>
      </c>
      <c r="AD168" s="69"/>
      <c r="AE168" s="68">
        <f>AD168*I168</f>
        <v>0</v>
      </c>
      <c r="AF168" s="68">
        <f>F168-AE168</f>
        <v>9793.0972911232038</v>
      </c>
      <c r="AG168" s="69">
        <f>G168-AD168</f>
        <v>100</v>
      </c>
      <c r="AH168" s="70">
        <f t="shared" ref="AH168" si="267">100%-(AF168/$F168)</f>
        <v>0</v>
      </c>
    </row>
    <row r="169" spans="1:34" ht="15" customHeight="1" outlineLevel="2" x14ac:dyDescent="0.25">
      <c r="B169" s="71">
        <v>5006</v>
      </c>
      <c r="C169" s="56" t="s">
        <v>57</v>
      </c>
      <c r="E169" s="73">
        <v>5819.31</v>
      </c>
      <c r="F169" s="74">
        <f t="shared" si="224"/>
        <v>7679.4636007430527</v>
      </c>
      <c r="G169" s="75">
        <v>100</v>
      </c>
      <c r="H169" s="56" t="s">
        <v>40</v>
      </c>
      <c r="I169" s="73">
        <f t="shared" si="253"/>
        <v>76.794636007430526</v>
      </c>
      <c r="J169" s="69"/>
      <c r="K169" s="68">
        <f t="shared" si="254"/>
        <v>0</v>
      </c>
      <c r="L169" s="62">
        <f t="shared" si="217"/>
        <v>0</v>
      </c>
      <c r="M169" s="69">
        <f t="shared" si="190"/>
        <v>0</v>
      </c>
      <c r="O169" s="69"/>
      <c r="P169" s="68">
        <f t="shared" si="256"/>
        <v>0</v>
      </c>
      <c r="Q169" s="62">
        <f t="shared" si="218"/>
        <v>0</v>
      </c>
      <c r="R169" s="69">
        <f t="shared" si="191"/>
        <v>0</v>
      </c>
      <c r="U169" s="68">
        <f t="shared" si="258"/>
        <v>0</v>
      </c>
      <c r="V169" s="62">
        <f t="shared" si="215"/>
        <v>0</v>
      </c>
      <c r="W169" s="69">
        <f t="shared" si="192"/>
        <v>0</v>
      </c>
      <c r="Y169" s="75">
        <f>$AD$168*B169/$G$168</f>
        <v>0</v>
      </c>
      <c r="Z169" s="68">
        <f t="shared" si="260"/>
        <v>0</v>
      </c>
      <c r="AA169" s="68">
        <f t="shared" si="216"/>
        <v>0</v>
      </c>
      <c r="AB169" s="69">
        <f t="shared" si="187"/>
        <v>0</v>
      </c>
      <c r="AD169" s="75">
        <f>$AD$168*G169/$G$168</f>
        <v>0</v>
      </c>
    </row>
    <row r="170" spans="1:34" ht="15" customHeight="1" outlineLevel="2" x14ac:dyDescent="0.25">
      <c r="B170" s="71">
        <v>2185</v>
      </c>
      <c r="C170" s="56" t="s">
        <v>51</v>
      </c>
      <c r="E170" s="73">
        <v>860.35</v>
      </c>
      <c r="F170" s="74">
        <f t="shared" si="224"/>
        <v>1135.3625273270002</v>
      </c>
      <c r="G170" s="75">
        <v>43.56</v>
      </c>
      <c r="H170" s="56" t="s">
        <v>43</v>
      </c>
      <c r="I170" s="73">
        <f t="shared" si="253"/>
        <v>26.064337174632694</v>
      </c>
      <c r="J170" s="69"/>
      <c r="K170" s="68">
        <f t="shared" si="254"/>
        <v>0</v>
      </c>
      <c r="L170" s="62">
        <f t="shared" si="217"/>
        <v>0</v>
      </c>
      <c r="M170" s="69">
        <f t="shared" si="190"/>
        <v>0</v>
      </c>
      <c r="O170" s="69"/>
      <c r="P170" s="68">
        <f t="shared" si="256"/>
        <v>0</v>
      </c>
      <c r="Q170" s="62">
        <f t="shared" si="218"/>
        <v>0</v>
      </c>
      <c r="R170" s="69">
        <f t="shared" si="191"/>
        <v>0</v>
      </c>
      <c r="U170" s="68">
        <f t="shared" si="258"/>
        <v>0</v>
      </c>
      <c r="V170" s="62">
        <f t="shared" si="215"/>
        <v>0</v>
      </c>
      <c r="W170" s="69">
        <f t="shared" si="192"/>
        <v>0</v>
      </c>
      <c r="Y170" s="75">
        <f>$AD$168*B170/$G$168</f>
        <v>0</v>
      </c>
      <c r="Z170" s="68">
        <f t="shared" si="260"/>
        <v>0</v>
      </c>
      <c r="AA170" s="68">
        <f t="shared" si="216"/>
        <v>0</v>
      </c>
      <c r="AB170" s="69">
        <f t="shared" si="187"/>
        <v>0</v>
      </c>
      <c r="AD170" s="75">
        <f>$AD$168*G170/$G$168</f>
        <v>0</v>
      </c>
    </row>
    <row r="171" spans="1:34" ht="15" customHeight="1" outlineLevel="2" x14ac:dyDescent="0.25">
      <c r="B171" s="71">
        <v>2149</v>
      </c>
      <c r="C171" s="56" t="s">
        <v>48</v>
      </c>
      <c r="E171" s="73">
        <v>369.33</v>
      </c>
      <c r="F171" s="74">
        <f t="shared" si="224"/>
        <v>487.38704273572495</v>
      </c>
      <c r="G171" s="75">
        <v>43.56</v>
      </c>
      <c r="H171" s="56" t="s">
        <v>43</v>
      </c>
      <c r="I171" s="73">
        <f t="shared" si="253"/>
        <v>11.188866913124999</v>
      </c>
      <c r="J171" s="69"/>
      <c r="K171" s="68">
        <f t="shared" si="254"/>
        <v>0</v>
      </c>
      <c r="L171" s="62">
        <f t="shared" si="217"/>
        <v>0</v>
      </c>
      <c r="M171" s="69">
        <f t="shared" si="190"/>
        <v>0</v>
      </c>
      <c r="O171" s="69"/>
      <c r="P171" s="68">
        <f t="shared" si="256"/>
        <v>0</v>
      </c>
      <c r="Q171" s="62">
        <f t="shared" si="218"/>
        <v>0</v>
      </c>
      <c r="R171" s="69">
        <f t="shared" si="191"/>
        <v>0</v>
      </c>
      <c r="U171" s="68">
        <f t="shared" si="258"/>
        <v>0</v>
      </c>
      <c r="V171" s="62">
        <f t="shared" si="215"/>
        <v>0</v>
      </c>
      <c r="W171" s="69">
        <f t="shared" si="192"/>
        <v>0</v>
      </c>
      <c r="Y171" s="75">
        <f>$AD$168*B171/$G$168</f>
        <v>0</v>
      </c>
      <c r="Z171" s="68">
        <f t="shared" si="260"/>
        <v>0</v>
      </c>
      <c r="AA171" s="68">
        <f t="shared" si="216"/>
        <v>0</v>
      </c>
      <c r="AB171" s="69">
        <f t="shared" si="187"/>
        <v>0</v>
      </c>
      <c r="AD171" s="75">
        <f>$AD$168*G171/$G$168</f>
        <v>0</v>
      </c>
    </row>
    <row r="172" spans="1:34" ht="15" customHeight="1" outlineLevel="2" x14ac:dyDescent="0.25">
      <c r="B172" s="71">
        <v>2150</v>
      </c>
      <c r="C172" s="56" t="s">
        <v>38</v>
      </c>
      <c r="E172" s="73">
        <v>274.76</v>
      </c>
      <c r="F172" s="74">
        <f t="shared" ref="F172:F173" si="268">$D$107/$E$107*E172</f>
        <v>362.5875608861121</v>
      </c>
      <c r="G172" s="75">
        <v>32.409999999999997</v>
      </c>
      <c r="H172" s="56" t="s">
        <v>43</v>
      </c>
      <c r="I172" s="73">
        <f t="shared" si="253"/>
        <v>11.187521162792722</v>
      </c>
      <c r="J172" s="69"/>
      <c r="K172" s="68">
        <f t="shared" si="254"/>
        <v>0</v>
      </c>
      <c r="L172" s="62">
        <f t="shared" si="217"/>
        <v>0</v>
      </c>
      <c r="M172" s="69">
        <f t="shared" si="190"/>
        <v>0</v>
      </c>
      <c r="O172" s="69"/>
      <c r="P172" s="68">
        <f t="shared" si="256"/>
        <v>0</v>
      </c>
      <c r="Q172" s="62">
        <f t="shared" si="218"/>
        <v>0</v>
      </c>
      <c r="R172" s="69">
        <f t="shared" si="191"/>
        <v>0</v>
      </c>
      <c r="U172" s="68">
        <f t="shared" si="258"/>
        <v>0</v>
      </c>
      <c r="V172" s="62">
        <f t="shared" si="215"/>
        <v>0</v>
      </c>
      <c r="W172" s="69">
        <f t="shared" si="192"/>
        <v>0</v>
      </c>
      <c r="Y172" s="75">
        <f>$AD$168*B172/$G$168</f>
        <v>0</v>
      </c>
      <c r="Z172" s="68">
        <f t="shared" si="260"/>
        <v>0</v>
      </c>
      <c r="AA172" s="68">
        <f t="shared" si="216"/>
        <v>0</v>
      </c>
      <c r="AB172" s="69">
        <f t="shared" si="187"/>
        <v>0</v>
      </c>
      <c r="AD172" s="75">
        <f>$AD$168*G172/$G$168</f>
        <v>0</v>
      </c>
    </row>
    <row r="173" spans="1:34" ht="15" customHeight="1" outlineLevel="2" x14ac:dyDescent="0.25">
      <c r="B173" s="71">
        <v>2490</v>
      </c>
      <c r="C173" s="56" t="s">
        <v>37</v>
      </c>
      <c r="E173" s="73">
        <v>97.22</v>
      </c>
      <c r="F173" s="74">
        <f t="shared" si="268"/>
        <v>128.29655943131394</v>
      </c>
      <c r="G173" s="75">
        <v>32.409999999999997</v>
      </c>
      <c r="H173" s="56" t="s">
        <v>43</v>
      </c>
      <c r="I173" s="73">
        <f t="shared" si="253"/>
        <v>3.9585485785656882</v>
      </c>
      <c r="J173" s="69"/>
      <c r="K173" s="68">
        <f t="shared" si="254"/>
        <v>0</v>
      </c>
      <c r="L173" s="62">
        <f t="shared" si="217"/>
        <v>0</v>
      </c>
      <c r="M173" s="69">
        <f t="shared" si="190"/>
        <v>0</v>
      </c>
      <c r="O173" s="69"/>
      <c r="P173" s="68">
        <f t="shared" si="256"/>
        <v>0</v>
      </c>
      <c r="Q173" s="62">
        <f t="shared" si="218"/>
        <v>0</v>
      </c>
      <c r="R173" s="69">
        <f t="shared" si="191"/>
        <v>0</v>
      </c>
      <c r="U173" s="68">
        <f t="shared" si="258"/>
        <v>0</v>
      </c>
      <c r="V173" s="62">
        <f t="shared" si="215"/>
        <v>0</v>
      </c>
      <c r="W173" s="69">
        <f t="shared" si="192"/>
        <v>0</v>
      </c>
      <c r="Y173" s="75">
        <f>$AD$168*B173/$G$168</f>
        <v>0</v>
      </c>
      <c r="Z173" s="68">
        <f t="shared" si="260"/>
        <v>0</v>
      </c>
      <c r="AA173" s="68">
        <f t="shared" si="216"/>
        <v>0</v>
      </c>
      <c r="AB173" s="69">
        <f t="shared" ref="AB173:AB236" si="269">+AG173-Y173</f>
        <v>0</v>
      </c>
      <c r="AD173" s="75">
        <f>$AD$168*G173/$G$168</f>
        <v>0</v>
      </c>
    </row>
    <row r="174" spans="1:34" ht="15" customHeight="1" outlineLevel="1" x14ac:dyDescent="0.25">
      <c r="A174" s="67"/>
      <c r="B174" s="66"/>
      <c r="C174" s="67" t="s">
        <v>177</v>
      </c>
      <c r="D174" s="68"/>
      <c r="E174" s="68">
        <v>52963.82</v>
      </c>
      <c r="F174" s="68">
        <f t="shared" ref="F174:F237" si="270">$D$107/$E$107*E174</f>
        <v>69893.806627642611</v>
      </c>
      <c r="G174" s="69">
        <v>695</v>
      </c>
      <c r="H174" s="67" t="s">
        <v>40</v>
      </c>
      <c r="I174" s="68">
        <f t="shared" si="253"/>
        <v>100.56662824121238</v>
      </c>
      <c r="J174" s="69"/>
      <c r="K174" s="68">
        <f t="shared" si="254"/>
        <v>0</v>
      </c>
      <c r="L174" s="62">
        <f t="shared" si="217"/>
        <v>20012.759020001256</v>
      </c>
      <c r="M174" s="69">
        <f t="shared" ref="M174:M237" si="271">+R174-J174</f>
        <v>199</v>
      </c>
      <c r="N174" s="70">
        <f t="shared" ref="N174" si="272">100%-(L174/$F174)</f>
        <v>0.71366906474820158</v>
      </c>
      <c r="O174" s="69">
        <v>300</v>
      </c>
      <c r="P174" s="68">
        <f t="shared" si="256"/>
        <v>30169.988472363715</v>
      </c>
      <c r="Q174" s="62">
        <f t="shared" si="218"/>
        <v>20012.759020001256</v>
      </c>
      <c r="R174" s="69">
        <f t="shared" ref="R174:R237" si="273">+W174-O174</f>
        <v>199</v>
      </c>
      <c r="S174" s="70">
        <f t="shared" ref="S174" si="274">100%-(Q174/$F174)</f>
        <v>0.71366906474820158</v>
      </c>
      <c r="T174" s="69">
        <v>186</v>
      </c>
      <c r="U174" s="68">
        <f t="shared" si="258"/>
        <v>18705.392852865505</v>
      </c>
      <c r="V174" s="62">
        <f t="shared" si="215"/>
        <v>50182.747492364972</v>
      </c>
      <c r="W174" s="69">
        <f t="shared" ref="W174:W237" si="275">+AB174-T174</f>
        <v>499</v>
      </c>
      <c r="X174" s="70">
        <f t="shared" ref="X174" si="276">100%-(V174/$F174)</f>
        <v>0.28201438848920879</v>
      </c>
      <c r="Y174" s="69">
        <v>10</v>
      </c>
      <c r="Z174" s="68">
        <f t="shared" si="260"/>
        <v>1005.6662824121238</v>
      </c>
      <c r="AA174" s="68">
        <f t="shared" si="216"/>
        <v>68888.14034523048</v>
      </c>
      <c r="AB174" s="69">
        <f t="shared" si="269"/>
        <v>685</v>
      </c>
      <c r="AC174" s="70">
        <f t="shared" ref="AC174" si="277">100%-(AA174/$F174)</f>
        <v>1.4388489208633226E-2</v>
      </c>
      <c r="AD174" s="69"/>
      <c r="AE174" s="68">
        <f>AD174*I174</f>
        <v>0</v>
      </c>
      <c r="AF174" s="68">
        <f>F174-AE174</f>
        <v>69893.806627642611</v>
      </c>
      <c r="AG174" s="69">
        <f>G174-AD174</f>
        <v>695</v>
      </c>
      <c r="AH174" s="70">
        <f t="shared" ref="AH174" si="278">100%-(AF174/$F174)</f>
        <v>0</v>
      </c>
    </row>
    <row r="175" spans="1:34" ht="15" customHeight="1" outlineLevel="2" x14ac:dyDescent="0.25">
      <c r="B175" s="71">
        <v>5008</v>
      </c>
      <c r="C175" s="56" t="s">
        <v>58</v>
      </c>
      <c r="E175" s="73">
        <v>40444.18</v>
      </c>
      <c r="F175" s="74">
        <f t="shared" si="270"/>
        <v>53372.239693692231</v>
      </c>
      <c r="G175" s="75">
        <v>695</v>
      </c>
      <c r="H175" s="56" t="s">
        <v>40</v>
      </c>
      <c r="I175" s="73">
        <f t="shared" si="253"/>
        <v>76.794589487326945</v>
      </c>
      <c r="J175" s="69"/>
      <c r="K175" s="68">
        <f t="shared" si="254"/>
        <v>0</v>
      </c>
      <c r="L175" s="62">
        <f t="shared" si="217"/>
        <v>0</v>
      </c>
      <c r="M175" s="69">
        <f t="shared" si="271"/>
        <v>0</v>
      </c>
      <c r="O175" s="69"/>
      <c r="P175" s="68">
        <f t="shared" si="256"/>
        <v>0</v>
      </c>
      <c r="Q175" s="62">
        <f t="shared" si="218"/>
        <v>0</v>
      </c>
      <c r="R175" s="69">
        <f t="shared" si="273"/>
        <v>0</v>
      </c>
      <c r="U175" s="68">
        <f t="shared" si="258"/>
        <v>0</v>
      </c>
      <c r="V175" s="62">
        <f t="shared" si="215"/>
        <v>0</v>
      </c>
      <c r="W175" s="69">
        <f t="shared" si="275"/>
        <v>0</v>
      </c>
      <c r="Y175" s="75">
        <f>$AD$174*B175/$G$174</f>
        <v>0</v>
      </c>
      <c r="Z175" s="68">
        <f t="shared" si="260"/>
        <v>0</v>
      </c>
      <c r="AA175" s="68">
        <f t="shared" si="216"/>
        <v>0</v>
      </c>
      <c r="AB175" s="69">
        <f t="shared" si="269"/>
        <v>0</v>
      </c>
      <c r="AD175" s="75">
        <f>$AD$174*G175/$G$174</f>
        <v>0</v>
      </c>
    </row>
    <row r="176" spans="1:34" ht="15" customHeight="1" outlineLevel="2" x14ac:dyDescent="0.25">
      <c r="B176" s="71">
        <v>2185</v>
      </c>
      <c r="C176" s="56" t="s">
        <v>51</v>
      </c>
      <c r="E176" s="73">
        <v>6669.25</v>
      </c>
      <c r="F176" s="74">
        <f t="shared" si="270"/>
        <v>8801.0885516075959</v>
      </c>
      <c r="G176" s="75">
        <v>337.68</v>
      </c>
      <c r="H176" s="56" t="s">
        <v>43</v>
      </c>
      <c r="I176" s="73">
        <f t="shared" si="253"/>
        <v>26.063398932739858</v>
      </c>
      <c r="J176" s="69"/>
      <c r="K176" s="68">
        <f t="shared" si="254"/>
        <v>0</v>
      </c>
      <c r="L176" s="62">
        <f t="shared" si="217"/>
        <v>0</v>
      </c>
      <c r="M176" s="69">
        <f t="shared" si="271"/>
        <v>0</v>
      </c>
      <c r="O176" s="69"/>
      <c r="P176" s="68">
        <f t="shared" si="256"/>
        <v>0</v>
      </c>
      <c r="Q176" s="62">
        <f t="shared" si="218"/>
        <v>0</v>
      </c>
      <c r="R176" s="69">
        <f t="shared" si="273"/>
        <v>0</v>
      </c>
      <c r="U176" s="68">
        <f t="shared" si="258"/>
        <v>0</v>
      </c>
      <c r="V176" s="62">
        <f t="shared" si="215"/>
        <v>0</v>
      </c>
      <c r="W176" s="69">
        <f t="shared" si="275"/>
        <v>0</v>
      </c>
      <c r="Y176" s="75">
        <f>$AD$174*B176/$G$174</f>
        <v>0</v>
      </c>
      <c r="Z176" s="68">
        <f t="shared" si="260"/>
        <v>0</v>
      </c>
      <c r="AA176" s="68">
        <f t="shared" si="216"/>
        <v>0</v>
      </c>
      <c r="AB176" s="69">
        <f t="shared" si="269"/>
        <v>0</v>
      </c>
      <c r="AD176" s="75">
        <f>$AD$174*G176/$G$174</f>
        <v>0</v>
      </c>
    </row>
    <row r="177" spans="1:34" ht="15" customHeight="1" outlineLevel="2" x14ac:dyDescent="0.25">
      <c r="B177" s="71">
        <v>2149</v>
      </c>
      <c r="C177" s="56" t="s">
        <v>48</v>
      </c>
      <c r="E177" s="73">
        <v>2862.97</v>
      </c>
      <c r="F177" s="74">
        <f t="shared" si="270"/>
        <v>3778.1238505972933</v>
      </c>
      <c r="G177" s="75">
        <v>337.68</v>
      </c>
      <c r="H177" s="56" t="s">
        <v>43</v>
      </c>
      <c r="I177" s="73">
        <f t="shared" si="253"/>
        <v>11.188473852751994</v>
      </c>
      <c r="J177" s="69"/>
      <c r="K177" s="68">
        <f t="shared" si="254"/>
        <v>0</v>
      </c>
      <c r="L177" s="62">
        <f t="shared" si="217"/>
        <v>0</v>
      </c>
      <c r="M177" s="69">
        <f t="shared" si="271"/>
        <v>0</v>
      </c>
      <c r="O177" s="69"/>
      <c r="P177" s="68">
        <f t="shared" si="256"/>
        <v>0</v>
      </c>
      <c r="Q177" s="62">
        <f t="shared" si="218"/>
        <v>0</v>
      </c>
      <c r="R177" s="69">
        <f t="shared" si="273"/>
        <v>0</v>
      </c>
      <c r="U177" s="68">
        <f t="shared" si="258"/>
        <v>0</v>
      </c>
      <c r="V177" s="62">
        <f t="shared" si="215"/>
        <v>0</v>
      </c>
      <c r="W177" s="69">
        <f t="shared" si="275"/>
        <v>0</v>
      </c>
      <c r="Y177" s="75">
        <f>$AD$174*B177/$G$174</f>
        <v>0</v>
      </c>
      <c r="Z177" s="68">
        <f t="shared" si="260"/>
        <v>0</v>
      </c>
      <c r="AA177" s="68">
        <f t="shared" si="216"/>
        <v>0</v>
      </c>
      <c r="AB177" s="69">
        <f t="shared" si="269"/>
        <v>0</v>
      </c>
      <c r="AD177" s="75">
        <f>$AD$174*G177/$G$174</f>
        <v>0</v>
      </c>
    </row>
    <row r="178" spans="1:34" ht="15" customHeight="1" outlineLevel="2" x14ac:dyDescent="0.25">
      <c r="B178" s="71">
        <v>2150</v>
      </c>
      <c r="C178" s="56" t="s">
        <v>38</v>
      </c>
      <c r="E178" s="73">
        <v>2206.62</v>
      </c>
      <c r="F178" s="74">
        <f t="shared" si="270"/>
        <v>2911.9703144653977</v>
      </c>
      <c r="G178" s="75">
        <v>260.27</v>
      </c>
      <c r="H178" s="56" t="s">
        <v>43</v>
      </c>
      <c r="I178" s="73">
        <f t="shared" si="253"/>
        <v>11.188267239656502</v>
      </c>
      <c r="J178" s="69"/>
      <c r="K178" s="68">
        <f t="shared" si="254"/>
        <v>0</v>
      </c>
      <c r="L178" s="62">
        <f t="shared" si="217"/>
        <v>0</v>
      </c>
      <c r="M178" s="69">
        <f t="shared" si="271"/>
        <v>0</v>
      </c>
      <c r="O178" s="69"/>
      <c r="P178" s="68">
        <f t="shared" si="256"/>
        <v>0</v>
      </c>
      <c r="Q178" s="62">
        <f t="shared" si="218"/>
        <v>0</v>
      </c>
      <c r="R178" s="69">
        <f t="shared" si="273"/>
        <v>0</v>
      </c>
      <c r="U178" s="68">
        <f t="shared" si="258"/>
        <v>0</v>
      </c>
      <c r="V178" s="62">
        <f t="shared" si="215"/>
        <v>0</v>
      </c>
      <c r="W178" s="69">
        <f t="shared" si="275"/>
        <v>0</v>
      </c>
      <c r="Y178" s="75">
        <f>$AD$174*B178/$G$174</f>
        <v>0</v>
      </c>
      <c r="Z178" s="68">
        <f t="shared" si="260"/>
        <v>0</v>
      </c>
      <c r="AA178" s="68">
        <f t="shared" si="216"/>
        <v>0</v>
      </c>
      <c r="AB178" s="69">
        <f t="shared" si="269"/>
        <v>0</v>
      </c>
      <c r="AD178" s="75">
        <f>$AD$174*G178/$G$174</f>
        <v>0</v>
      </c>
    </row>
    <row r="179" spans="1:34" ht="15" customHeight="1" outlineLevel="2" x14ac:dyDescent="0.25">
      <c r="B179" s="71">
        <v>2490</v>
      </c>
      <c r="C179" s="56" t="s">
        <v>37</v>
      </c>
      <c r="E179" s="73">
        <v>780.8</v>
      </c>
      <c r="F179" s="74">
        <f t="shared" si="270"/>
        <v>1030.3842172800855</v>
      </c>
      <c r="G179" s="75">
        <v>260.27</v>
      </c>
      <c r="H179" s="56" t="s">
        <v>43</v>
      </c>
      <c r="I179" s="73">
        <f t="shared" si="253"/>
        <v>3.9589050496795082</v>
      </c>
      <c r="J179" s="69"/>
      <c r="K179" s="68">
        <f t="shared" si="254"/>
        <v>0</v>
      </c>
      <c r="L179" s="62">
        <f t="shared" si="217"/>
        <v>0</v>
      </c>
      <c r="M179" s="69">
        <f t="shared" si="271"/>
        <v>0</v>
      </c>
      <c r="O179" s="69"/>
      <c r="P179" s="68">
        <f t="shared" si="256"/>
        <v>0</v>
      </c>
      <c r="Q179" s="62">
        <f t="shared" si="218"/>
        <v>0</v>
      </c>
      <c r="R179" s="69">
        <f t="shared" si="273"/>
        <v>0</v>
      </c>
      <c r="U179" s="68">
        <f t="shared" si="258"/>
        <v>0</v>
      </c>
      <c r="V179" s="62">
        <f t="shared" si="215"/>
        <v>0</v>
      </c>
      <c r="W179" s="69">
        <f t="shared" si="275"/>
        <v>0</v>
      </c>
      <c r="Y179" s="75">
        <f>$AD$174*B179/$G$174</f>
        <v>0</v>
      </c>
      <c r="Z179" s="68">
        <f t="shared" si="260"/>
        <v>0</v>
      </c>
      <c r="AA179" s="68">
        <f t="shared" si="216"/>
        <v>0</v>
      </c>
      <c r="AB179" s="69">
        <f t="shared" si="269"/>
        <v>0</v>
      </c>
      <c r="AD179" s="75">
        <f>$AD$174*G179/$G$174</f>
        <v>0</v>
      </c>
    </row>
    <row r="180" spans="1:34" ht="15" customHeight="1" outlineLevel="1" x14ac:dyDescent="0.25">
      <c r="A180" s="67"/>
      <c r="B180" s="66"/>
      <c r="C180" s="67" t="s">
        <v>178</v>
      </c>
      <c r="D180" s="68"/>
      <c r="E180" s="68">
        <v>52592.68</v>
      </c>
      <c r="F180" s="68">
        <f t="shared" si="270"/>
        <v>69404.031014935987</v>
      </c>
      <c r="G180" s="69">
        <v>672</v>
      </c>
      <c r="H180" s="67" t="s">
        <v>40</v>
      </c>
      <c r="I180" s="68">
        <f t="shared" si="253"/>
        <v>103.27980805794046</v>
      </c>
      <c r="J180" s="69"/>
      <c r="K180" s="68">
        <f t="shared" si="254"/>
        <v>0</v>
      </c>
      <c r="L180" s="62">
        <f t="shared" si="217"/>
        <v>69404.031014935987</v>
      </c>
      <c r="M180" s="69">
        <f t="shared" si="271"/>
        <v>672</v>
      </c>
      <c r="N180" s="70">
        <f t="shared" ref="N180" si="279">100%-(L180/$F180)</f>
        <v>0</v>
      </c>
      <c r="O180" s="69"/>
      <c r="P180" s="68">
        <f t="shared" si="256"/>
        <v>0</v>
      </c>
      <c r="Q180" s="62">
        <f t="shared" si="218"/>
        <v>69404.031014935987</v>
      </c>
      <c r="R180" s="69">
        <f t="shared" si="273"/>
        <v>672</v>
      </c>
      <c r="S180" s="70">
        <f t="shared" ref="S180" si="280">100%-(Q180/$F180)</f>
        <v>0</v>
      </c>
      <c r="T180" s="69"/>
      <c r="U180" s="68">
        <f t="shared" si="258"/>
        <v>0</v>
      </c>
      <c r="V180" s="62">
        <f t="shared" si="215"/>
        <v>69404.031014935987</v>
      </c>
      <c r="W180" s="69">
        <f t="shared" si="275"/>
        <v>672</v>
      </c>
      <c r="X180" s="70">
        <f t="shared" ref="X180" si="281">100%-(V180/$F180)</f>
        <v>0</v>
      </c>
      <c r="Y180" s="69"/>
      <c r="Z180" s="68">
        <f t="shared" si="260"/>
        <v>0</v>
      </c>
      <c r="AA180" s="68">
        <f t="shared" si="216"/>
        <v>69404.031014935987</v>
      </c>
      <c r="AB180" s="69">
        <f t="shared" si="269"/>
        <v>672</v>
      </c>
      <c r="AC180" s="70">
        <f t="shared" ref="AC180" si="282">100%-(AA180/$F180)</f>
        <v>0</v>
      </c>
      <c r="AD180" s="69"/>
      <c r="AE180" s="68">
        <f>AD180*I180</f>
        <v>0</v>
      </c>
      <c r="AF180" s="68">
        <f>F180-AE180</f>
        <v>69404.031014935987</v>
      </c>
      <c r="AG180" s="69">
        <f>G180-AD180</f>
        <v>672</v>
      </c>
      <c r="AH180" s="70">
        <f t="shared" ref="AH180" si="283">100%-(AF180/$F180)</f>
        <v>0</v>
      </c>
    </row>
    <row r="181" spans="1:34" ht="15" customHeight="1" outlineLevel="2" x14ac:dyDescent="0.25">
      <c r="B181" s="71">
        <v>5010</v>
      </c>
      <c r="C181" s="56" t="s">
        <v>97</v>
      </c>
      <c r="E181" s="73">
        <v>39105.74</v>
      </c>
      <c r="F181" s="74">
        <f t="shared" si="270"/>
        <v>51605.964781068818</v>
      </c>
      <c r="G181" s="75">
        <v>672</v>
      </c>
      <c r="H181" s="56" t="s">
        <v>40</v>
      </c>
      <c r="I181" s="73">
        <f t="shared" si="253"/>
        <v>76.794590448019079</v>
      </c>
      <c r="J181" s="69"/>
      <c r="K181" s="68">
        <f t="shared" si="254"/>
        <v>0</v>
      </c>
      <c r="L181" s="62">
        <f t="shared" si="217"/>
        <v>0</v>
      </c>
      <c r="M181" s="69">
        <f t="shared" si="271"/>
        <v>0</v>
      </c>
      <c r="O181" s="69"/>
      <c r="P181" s="68">
        <f t="shared" si="256"/>
        <v>0</v>
      </c>
      <c r="Q181" s="62">
        <f t="shared" si="218"/>
        <v>0</v>
      </c>
      <c r="R181" s="69">
        <f t="shared" si="273"/>
        <v>0</v>
      </c>
      <c r="U181" s="68">
        <f t="shared" si="258"/>
        <v>0</v>
      </c>
      <c r="V181" s="62">
        <f t="shared" si="215"/>
        <v>0</v>
      </c>
      <c r="W181" s="69">
        <f t="shared" si="275"/>
        <v>0</v>
      </c>
      <c r="Y181" s="75">
        <f>$AD$180*B181/$G$180</f>
        <v>0</v>
      </c>
      <c r="Z181" s="68">
        <f t="shared" si="260"/>
        <v>0</v>
      </c>
      <c r="AA181" s="68">
        <f t="shared" si="216"/>
        <v>0</v>
      </c>
      <c r="AB181" s="69">
        <f t="shared" si="269"/>
        <v>0</v>
      </c>
      <c r="AD181" s="75">
        <f>$AD$180*G181/$G$180</f>
        <v>0</v>
      </c>
    </row>
    <row r="182" spans="1:34" ht="15" customHeight="1" outlineLevel="2" x14ac:dyDescent="0.25">
      <c r="B182" s="71">
        <v>2185</v>
      </c>
      <c r="C182" s="56" t="s">
        <v>51</v>
      </c>
      <c r="E182" s="73">
        <v>7123.71</v>
      </c>
      <c r="F182" s="74">
        <f t="shared" si="270"/>
        <v>9400.8175620905731</v>
      </c>
      <c r="G182" s="75">
        <v>360.69</v>
      </c>
      <c r="H182" s="56" t="s">
        <v>43</v>
      </c>
      <c r="I182" s="73">
        <f t="shared" si="253"/>
        <v>26.063427214756643</v>
      </c>
      <c r="J182" s="69"/>
      <c r="K182" s="68">
        <f t="shared" si="254"/>
        <v>0</v>
      </c>
      <c r="L182" s="62">
        <f t="shared" si="217"/>
        <v>0</v>
      </c>
      <c r="M182" s="69">
        <f t="shared" si="271"/>
        <v>0</v>
      </c>
      <c r="O182" s="69"/>
      <c r="P182" s="68">
        <f t="shared" si="256"/>
        <v>0</v>
      </c>
      <c r="Q182" s="62">
        <f t="shared" si="218"/>
        <v>0</v>
      </c>
      <c r="R182" s="69">
        <f t="shared" si="273"/>
        <v>0</v>
      </c>
      <c r="U182" s="68">
        <f t="shared" si="258"/>
        <v>0</v>
      </c>
      <c r="V182" s="62">
        <f t="shared" si="215"/>
        <v>0</v>
      </c>
      <c r="W182" s="69">
        <f t="shared" si="275"/>
        <v>0</v>
      </c>
      <c r="Y182" s="75">
        <f>$AD$180*B182/$G$180</f>
        <v>0</v>
      </c>
      <c r="Z182" s="68">
        <f t="shared" si="260"/>
        <v>0</v>
      </c>
      <c r="AA182" s="68">
        <f t="shared" si="216"/>
        <v>0</v>
      </c>
      <c r="AB182" s="69">
        <f t="shared" si="269"/>
        <v>0</v>
      </c>
      <c r="AD182" s="75">
        <f>$AD$180*G182/$G$180</f>
        <v>0</v>
      </c>
    </row>
    <row r="183" spans="1:34" ht="15" customHeight="1" outlineLevel="2" x14ac:dyDescent="0.25">
      <c r="B183" s="71">
        <v>2149</v>
      </c>
      <c r="C183" s="56" t="s">
        <v>48</v>
      </c>
      <c r="E183" s="73">
        <v>3058.06</v>
      </c>
      <c r="F183" s="74">
        <f t="shared" si="270"/>
        <v>4035.5747432063763</v>
      </c>
      <c r="G183" s="75">
        <v>360.69</v>
      </c>
      <c r="H183" s="56" t="s">
        <v>43</v>
      </c>
      <c r="I183" s="73">
        <f t="shared" si="253"/>
        <v>11.188485245519356</v>
      </c>
      <c r="J183" s="69"/>
      <c r="K183" s="68">
        <f t="shared" si="254"/>
        <v>0</v>
      </c>
      <c r="L183" s="62">
        <f t="shared" si="217"/>
        <v>0</v>
      </c>
      <c r="M183" s="69">
        <f t="shared" si="271"/>
        <v>0</v>
      </c>
      <c r="O183" s="69"/>
      <c r="P183" s="68">
        <f t="shared" si="256"/>
        <v>0</v>
      </c>
      <c r="Q183" s="62">
        <f t="shared" si="218"/>
        <v>0</v>
      </c>
      <c r="R183" s="69">
        <f t="shared" si="273"/>
        <v>0</v>
      </c>
      <c r="U183" s="68">
        <f t="shared" si="258"/>
        <v>0</v>
      </c>
      <c r="V183" s="62">
        <f t="shared" si="215"/>
        <v>0</v>
      </c>
      <c r="W183" s="69">
        <f t="shared" si="275"/>
        <v>0</v>
      </c>
      <c r="Y183" s="75">
        <f>$AD$180*B183/$G$180</f>
        <v>0</v>
      </c>
      <c r="Z183" s="68">
        <f t="shared" si="260"/>
        <v>0</v>
      </c>
      <c r="AA183" s="68">
        <f t="shared" si="216"/>
        <v>0</v>
      </c>
      <c r="AB183" s="69">
        <f t="shared" si="269"/>
        <v>0</v>
      </c>
      <c r="AD183" s="75">
        <f>$AD$180*G183/$G$180</f>
        <v>0</v>
      </c>
    </row>
    <row r="184" spans="1:34" ht="15" customHeight="1" outlineLevel="2" x14ac:dyDescent="0.25">
      <c r="B184" s="71">
        <v>2150</v>
      </c>
      <c r="C184" s="56" t="s">
        <v>38</v>
      </c>
      <c r="E184" s="73">
        <v>2441.3200000000002</v>
      </c>
      <c r="F184" s="74">
        <f t="shared" si="270"/>
        <v>3221.6926195315305</v>
      </c>
      <c r="G184" s="75">
        <v>287.95</v>
      </c>
      <c r="H184" s="56" t="s">
        <v>43</v>
      </c>
      <c r="I184" s="73">
        <f t="shared" si="253"/>
        <v>11.188375132945062</v>
      </c>
      <c r="J184" s="69"/>
      <c r="K184" s="68">
        <f t="shared" si="254"/>
        <v>0</v>
      </c>
      <c r="L184" s="62">
        <f t="shared" si="217"/>
        <v>0</v>
      </c>
      <c r="M184" s="69">
        <f t="shared" si="271"/>
        <v>0</v>
      </c>
      <c r="O184" s="69"/>
      <c r="P184" s="68">
        <f t="shared" si="256"/>
        <v>0</v>
      </c>
      <c r="Q184" s="62">
        <f t="shared" si="218"/>
        <v>0</v>
      </c>
      <c r="R184" s="69">
        <f t="shared" si="273"/>
        <v>0</v>
      </c>
      <c r="U184" s="68">
        <f t="shared" si="258"/>
        <v>0</v>
      </c>
      <c r="V184" s="62">
        <f t="shared" si="215"/>
        <v>0</v>
      </c>
      <c r="W184" s="69">
        <f t="shared" si="275"/>
        <v>0</v>
      </c>
      <c r="Y184" s="75">
        <f>$AD$180*B184/$G$180</f>
        <v>0</v>
      </c>
      <c r="Z184" s="68">
        <f t="shared" si="260"/>
        <v>0</v>
      </c>
      <c r="AA184" s="68">
        <f t="shared" si="216"/>
        <v>0</v>
      </c>
      <c r="AB184" s="69">
        <f t="shared" si="269"/>
        <v>0</v>
      </c>
      <c r="AD184" s="75">
        <f>$AD$180*G184/$G$180</f>
        <v>0</v>
      </c>
    </row>
    <row r="185" spans="1:34" ht="15" customHeight="1" outlineLevel="2" x14ac:dyDescent="0.25">
      <c r="B185" s="71">
        <v>2490</v>
      </c>
      <c r="C185" s="56" t="s">
        <v>37</v>
      </c>
      <c r="E185" s="73">
        <v>863.85</v>
      </c>
      <c r="F185" s="74">
        <f t="shared" si="270"/>
        <v>1139.9813090386808</v>
      </c>
      <c r="G185" s="75">
        <v>287.95</v>
      </c>
      <c r="H185" s="56" t="s">
        <v>43</v>
      </c>
      <c r="I185" s="73">
        <f t="shared" si="253"/>
        <v>3.9589557528691817</v>
      </c>
      <c r="J185" s="69"/>
      <c r="K185" s="68">
        <f t="shared" si="254"/>
        <v>0</v>
      </c>
      <c r="L185" s="62">
        <f t="shared" si="217"/>
        <v>0</v>
      </c>
      <c r="M185" s="69">
        <f t="shared" si="271"/>
        <v>0</v>
      </c>
      <c r="O185" s="69"/>
      <c r="P185" s="68">
        <f t="shared" si="256"/>
        <v>0</v>
      </c>
      <c r="Q185" s="62">
        <f t="shared" si="218"/>
        <v>0</v>
      </c>
      <c r="R185" s="69">
        <f t="shared" si="273"/>
        <v>0</v>
      </c>
      <c r="U185" s="68">
        <f t="shared" si="258"/>
        <v>0</v>
      </c>
      <c r="V185" s="62">
        <f t="shared" si="215"/>
        <v>0</v>
      </c>
      <c r="W185" s="69">
        <f t="shared" si="275"/>
        <v>0</v>
      </c>
      <c r="Y185" s="75">
        <f>$AD$180*B185/$G$180</f>
        <v>0</v>
      </c>
      <c r="Z185" s="68">
        <f t="shared" si="260"/>
        <v>0</v>
      </c>
      <c r="AA185" s="68">
        <f t="shared" si="216"/>
        <v>0</v>
      </c>
      <c r="AB185" s="69">
        <f t="shared" si="269"/>
        <v>0</v>
      </c>
      <c r="AD185" s="75">
        <f>$AD$180*G185/$G$180</f>
        <v>0</v>
      </c>
    </row>
    <row r="186" spans="1:34" ht="15" customHeight="1" outlineLevel="1" x14ac:dyDescent="0.25">
      <c r="A186" s="67"/>
      <c r="B186" s="66"/>
      <c r="C186" s="67" t="s">
        <v>179</v>
      </c>
      <c r="D186" s="68"/>
      <c r="E186" s="68">
        <v>55701.71</v>
      </c>
      <c r="F186" s="68">
        <f t="shared" si="270"/>
        <v>73506.868416383601</v>
      </c>
      <c r="G186" s="69">
        <v>693</v>
      </c>
      <c r="H186" s="67" t="s">
        <v>40</v>
      </c>
      <c r="I186" s="68">
        <f t="shared" si="253"/>
        <v>106.07051719535873</v>
      </c>
      <c r="J186" s="69"/>
      <c r="K186" s="68">
        <f t="shared" si="254"/>
        <v>0</v>
      </c>
      <c r="L186" s="62">
        <f t="shared" si="217"/>
        <v>72552.233761625379</v>
      </c>
      <c r="M186" s="69">
        <f t="shared" si="271"/>
        <v>684</v>
      </c>
      <c r="N186" s="70">
        <f t="shared" ref="N186" si="284">100%-(L186/$F186)</f>
        <v>1.298701298701288E-2</v>
      </c>
      <c r="O186" s="69"/>
      <c r="P186" s="68">
        <f t="shared" si="256"/>
        <v>0</v>
      </c>
      <c r="Q186" s="62">
        <f t="shared" si="218"/>
        <v>72552.233761625379</v>
      </c>
      <c r="R186" s="69">
        <f t="shared" si="273"/>
        <v>684</v>
      </c>
      <c r="S186" s="70">
        <f t="shared" ref="S186" si="285">100%-(Q186/$F186)</f>
        <v>1.298701298701288E-2</v>
      </c>
      <c r="T186" s="69">
        <v>9</v>
      </c>
      <c r="U186" s="68">
        <f t="shared" si="258"/>
        <v>954.63465475822863</v>
      </c>
      <c r="V186" s="62">
        <f t="shared" si="215"/>
        <v>72552.233761625379</v>
      </c>
      <c r="W186" s="69">
        <f t="shared" si="275"/>
        <v>684</v>
      </c>
      <c r="X186" s="70">
        <f t="shared" ref="X186" si="286">100%-(V186/$F186)</f>
        <v>1.298701298701288E-2</v>
      </c>
      <c r="Y186" s="69"/>
      <c r="Z186" s="68">
        <f t="shared" si="260"/>
        <v>0</v>
      </c>
      <c r="AA186" s="68">
        <f t="shared" si="216"/>
        <v>73506.868416383601</v>
      </c>
      <c r="AB186" s="69">
        <f t="shared" si="269"/>
        <v>693</v>
      </c>
      <c r="AC186" s="70">
        <f t="shared" ref="AC186" si="287">100%-(AA186/$F186)</f>
        <v>0</v>
      </c>
      <c r="AD186" s="69"/>
      <c r="AE186" s="68">
        <f>AD186*I186</f>
        <v>0</v>
      </c>
      <c r="AF186" s="68">
        <f>F186-AE186</f>
        <v>73506.868416383601</v>
      </c>
      <c r="AG186" s="69">
        <f>G186-AD186</f>
        <v>693</v>
      </c>
      <c r="AH186" s="70">
        <f t="shared" ref="AH186" si="288">100%-(AF186/$F186)</f>
        <v>0</v>
      </c>
    </row>
    <row r="187" spans="1:34" ht="15" customHeight="1" outlineLevel="2" x14ac:dyDescent="0.25">
      <c r="B187" s="71">
        <v>5012</v>
      </c>
      <c r="C187" s="56" t="s">
        <v>59</v>
      </c>
      <c r="E187" s="73">
        <v>40327.800000000003</v>
      </c>
      <c r="F187" s="74">
        <f t="shared" si="270"/>
        <v>53218.658603519267</v>
      </c>
      <c r="G187" s="75">
        <v>693</v>
      </c>
      <c r="H187" s="56" t="s">
        <v>40</v>
      </c>
      <c r="I187" s="73">
        <f t="shared" si="253"/>
        <v>76.794601159479456</v>
      </c>
      <c r="J187" s="69"/>
      <c r="K187" s="68">
        <f t="shared" si="254"/>
        <v>0</v>
      </c>
      <c r="L187" s="62">
        <f t="shared" si="217"/>
        <v>0</v>
      </c>
      <c r="M187" s="69">
        <f t="shared" si="271"/>
        <v>0</v>
      </c>
      <c r="O187" s="69"/>
      <c r="P187" s="68">
        <f t="shared" si="256"/>
        <v>0</v>
      </c>
      <c r="Q187" s="62">
        <f t="shared" si="218"/>
        <v>0</v>
      </c>
      <c r="R187" s="69">
        <f t="shared" si="273"/>
        <v>0</v>
      </c>
      <c r="U187" s="68">
        <f t="shared" si="258"/>
        <v>0</v>
      </c>
      <c r="V187" s="62">
        <f t="shared" si="215"/>
        <v>0</v>
      </c>
      <c r="W187" s="69">
        <f t="shared" si="275"/>
        <v>0</v>
      </c>
      <c r="Y187" s="75">
        <f>$AD$186*B187/$G$186</f>
        <v>0</v>
      </c>
      <c r="Z187" s="68">
        <f t="shared" si="260"/>
        <v>0</v>
      </c>
      <c r="AA187" s="68">
        <f t="shared" si="216"/>
        <v>0</v>
      </c>
      <c r="AB187" s="69">
        <f t="shared" si="269"/>
        <v>0</v>
      </c>
      <c r="AD187" s="75">
        <f>$AD$186*G187/$G$186</f>
        <v>0</v>
      </c>
    </row>
    <row r="188" spans="1:34" ht="15" customHeight="1" outlineLevel="2" x14ac:dyDescent="0.25">
      <c r="B188" s="71">
        <v>2185</v>
      </c>
      <c r="C188" s="56" t="s">
        <v>51</v>
      </c>
      <c r="E188" s="73">
        <v>8051.03</v>
      </c>
      <c r="F188" s="74">
        <f t="shared" si="270"/>
        <v>10624.557178340789</v>
      </c>
      <c r="G188" s="75">
        <v>407.65</v>
      </c>
      <c r="H188" s="56" t="s">
        <v>43</v>
      </c>
      <c r="I188" s="73">
        <f t="shared" si="253"/>
        <v>26.062939233020458</v>
      </c>
      <c r="J188" s="69"/>
      <c r="K188" s="68">
        <f t="shared" si="254"/>
        <v>0</v>
      </c>
      <c r="L188" s="62">
        <f t="shared" si="217"/>
        <v>0</v>
      </c>
      <c r="M188" s="69">
        <f t="shared" si="271"/>
        <v>0</v>
      </c>
      <c r="O188" s="69"/>
      <c r="P188" s="68">
        <f t="shared" si="256"/>
        <v>0</v>
      </c>
      <c r="Q188" s="62">
        <f t="shared" si="218"/>
        <v>0</v>
      </c>
      <c r="R188" s="69">
        <f t="shared" si="273"/>
        <v>0</v>
      </c>
      <c r="U188" s="68">
        <f t="shared" si="258"/>
        <v>0</v>
      </c>
      <c r="V188" s="62">
        <f t="shared" si="215"/>
        <v>0</v>
      </c>
      <c r="W188" s="69">
        <f t="shared" si="275"/>
        <v>0</v>
      </c>
      <c r="Y188" s="75">
        <f>$AD$186*B188/$G$186</f>
        <v>0</v>
      </c>
      <c r="Z188" s="68">
        <f t="shared" si="260"/>
        <v>0</v>
      </c>
      <c r="AA188" s="68">
        <f t="shared" si="216"/>
        <v>0</v>
      </c>
      <c r="AB188" s="69">
        <f t="shared" si="269"/>
        <v>0</v>
      </c>
      <c r="AD188" s="75">
        <f>$AD$186*G188/$G$186</f>
        <v>0</v>
      </c>
    </row>
    <row r="189" spans="1:34" ht="15" customHeight="1" outlineLevel="2" x14ac:dyDescent="0.25">
      <c r="B189" s="71">
        <v>2149</v>
      </c>
      <c r="C189" s="56" t="s">
        <v>48</v>
      </c>
      <c r="E189" s="73">
        <v>3456.14</v>
      </c>
      <c r="F189" s="74">
        <f t="shared" si="270"/>
        <v>4560.9017785737642</v>
      </c>
      <c r="G189" s="75">
        <v>407.65</v>
      </c>
      <c r="H189" s="56" t="s">
        <v>43</v>
      </c>
      <c r="I189" s="73">
        <f t="shared" si="253"/>
        <v>11.188278617867692</v>
      </c>
      <c r="J189" s="69"/>
      <c r="K189" s="68">
        <f t="shared" si="254"/>
        <v>0</v>
      </c>
      <c r="L189" s="62">
        <f t="shared" si="217"/>
        <v>0</v>
      </c>
      <c r="M189" s="69">
        <f t="shared" si="271"/>
        <v>0</v>
      </c>
      <c r="O189" s="69"/>
      <c r="P189" s="68">
        <f t="shared" si="256"/>
        <v>0</v>
      </c>
      <c r="Q189" s="62">
        <f t="shared" si="218"/>
        <v>0</v>
      </c>
      <c r="R189" s="69">
        <f t="shared" si="273"/>
        <v>0</v>
      </c>
      <c r="U189" s="68">
        <f t="shared" si="258"/>
        <v>0</v>
      </c>
      <c r="V189" s="62">
        <f t="shared" si="215"/>
        <v>0</v>
      </c>
      <c r="W189" s="69">
        <f t="shared" si="275"/>
        <v>0</v>
      </c>
      <c r="Y189" s="75">
        <f>$AD$186*B189/$G$186</f>
        <v>0</v>
      </c>
      <c r="Z189" s="68">
        <f t="shared" si="260"/>
        <v>0</v>
      </c>
      <c r="AA189" s="68">
        <f t="shared" si="216"/>
        <v>0</v>
      </c>
      <c r="AB189" s="69">
        <f t="shared" si="269"/>
        <v>0</v>
      </c>
      <c r="AD189" s="75">
        <f>$AD$186*G189/$G$186</f>
        <v>0</v>
      </c>
    </row>
    <row r="190" spans="1:34" ht="15" customHeight="1" outlineLevel="2" x14ac:dyDescent="0.25">
      <c r="B190" s="71">
        <v>2150</v>
      </c>
      <c r="C190" s="56" t="s">
        <v>38</v>
      </c>
      <c r="E190" s="73">
        <v>2856.11</v>
      </c>
      <c r="F190" s="74">
        <f t="shared" si="270"/>
        <v>3769.0710384423996</v>
      </c>
      <c r="G190" s="75">
        <v>336.88</v>
      </c>
      <c r="H190" s="56" t="s">
        <v>43</v>
      </c>
      <c r="I190" s="73">
        <f t="shared" si="253"/>
        <v>11.188170976141059</v>
      </c>
      <c r="J190" s="69"/>
      <c r="K190" s="68">
        <f t="shared" si="254"/>
        <v>0</v>
      </c>
      <c r="L190" s="62">
        <f t="shared" si="217"/>
        <v>0</v>
      </c>
      <c r="M190" s="69">
        <f t="shared" si="271"/>
        <v>0</v>
      </c>
      <c r="O190" s="69"/>
      <c r="P190" s="68">
        <f t="shared" si="256"/>
        <v>0</v>
      </c>
      <c r="Q190" s="62">
        <f t="shared" si="218"/>
        <v>0</v>
      </c>
      <c r="R190" s="69">
        <f t="shared" si="273"/>
        <v>0</v>
      </c>
      <c r="U190" s="68">
        <f t="shared" si="258"/>
        <v>0</v>
      </c>
      <c r="V190" s="62">
        <f t="shared" si="215"/>
        <v>0</v>
      </c>
      <c r="W190" s="69">
        <f t="shared" si="275"/>
        <v>0</v>
      </c>
      <c r="Y190" s="75">
        <f>$AD$186*B190/$G$186</f>
        <v>0</v>
      </c>
      <c r="Z190" s="68">
        <f t="shared" si="260"/>
        <v>0</v>
      </c>
      <c r="AA190" s="68">
        <f t="shared" si="216"/>
        <v>0</v>
      </c>
      <c r="AB190" s="69">
        <f t="shared" si="269"/>
        <v>0</v>
      </c>
      <c r="AD190" s="75">
        <f>$AD$186*G190/$G$186</f>
        <v>0</v>
      </c>
    </row>
    <row r="191" spans="1:34" ht="15" customHeight="1" outlineLevel="2" collapsed="1" x14ac:dyDescent="0.25">
      <c r="B191" s="71">
        <v>2490</v>
      </c>
      <c r="C191" s="56" t="s">
        <v>37</v>
      </c>
      <c r="E191" s="73">
        <v>1010.63</v>
      </c>
      <c r="F191" s="74">
        <f t="shared" si="270"/>
        <v>1333.6798175073936</v>
      </c>
      <c r="G191" s="75">
        <v>336.88</v>
      </c>
      <c r="H191" s="56" t="s">
        <v>43</v>
      </c>
      <c r="I191" s="73">
        <f t="shared" si="253"/>
        <v>3.9589165801098125</v>
      </c>
      <c r="J191" s="69"/>
      <c r="K191" s="68">
        <f t="shared" si="254"/>
        <v>0</v>
      </c>
      <c r="L191" s="62">
        <f t="shared" si="217"/>
        <v>0</v>
      </c>
      <c r="M191" s="69">
        <f t="shared" si="271"/>
        <v>0</v>
      </c>
      <c r="O191" s="69"/>
      <c r="P191" s="68">
        <f t="shared" si="256"/>
        <v>0</v>
      </c>
      <c r="Q191" s="62">
        <f t="shared" si="218"/>
        <v>0</v>
      </c>
      <c r="R191" s="69">
        <f t="shared" si="273"/>
        <v>0</v>
      </c>
      <c r="U191" s="68">
        <f t="shared" si="258"/>
        <v>0</v>
      </c>
      <c r="V191" s="62">
        <f t="shared" si="215"/>
        <v>0</v>
      </c>
      <c r="W191" s="69">
        <f t="shared" si="275"/>
        <v>0</v>
      </c>
      <c r="Y191" s="75">
        <f>$AD$186*B191/$G$186</f>
        <v>0</v>
      </c>
      <c r="Z191" s="68">
        <f t="shared" si="260"/>
        <v>0</v>
      </c>
      <c r="AA191" s="68">
        <f t="shared" si="216"/>
        <v>0</v>
      </c>
      <c r="AB191" s="69">
        <f t="shared" si="269"/>
        <v>0</v>
      </c>
      <c r="AD191" s="75">
        <f>$AD$186*G191/$G$186</f>
        <v>0</v>
      </c>
    </row>
    <row r="192" spans="1:34" ht="15" customHeight="1" outlineLevel="1" x14ac:dyDescent="0.25">
      <c r="A192" s="67"/>
      <c r="B192" s="66"/>
      <c r="C192" s="67" t="s">
        <v>180</v>
      </c>
      <c r="D192" s="68"/>
      <c r="E192" s="68">
        <v>3904.42</v>
      </c>
      <c r="F192" s="68">
        <f t="shared" si="270"/>
        <v>5152.4753402058304</v>
      </c>
      <c r="G192" s="69">
        <v>40</v>
      </c>
      <c r="H192" s="67" t="s">
        <v>40</v>
      </c>
      <c r="I192" s="68">
        <f t="shared" si="253"/>
        <v>128.81188350514577</v>
      </c>
      <c r="J192" s="69"/>
      <c r="K192" s="68">
        <f t="shared" si="254"/>
        <v>0</v>
      </c>
      <c r="L192" s="62">
        <f t="shared" si="217"/>
        <v>5152.4753402058304</v>
      </c>
      <c r="M192" s="69">
        <f t="shared" si="271"/>
        <v>40</v>
      </c>
      <c r="N192" s="70">
        <f t="shared" ref="N192" si="289">100%-(L192/$F192)</f>
        <v>0</v>
      </c>
      <c r="O192" s="69"/>
      <c r="P192" s="68">
        <f t="shared" si="256"/>
        <v>0</v>
      </c>
      <c r="Q192" s="62">
        <f t="shared" si="218"/>
        <v>5152.4753402058304</v>
      </c>
      <c r="R192" s="69">
        <f t="shared" si="273"/>
        <v>40</v>
      </c>
      <c r="S192" s="70">
        <f t="shared" ref="S192" si="290">100%-(Q192/$F192)</f>
        <v>0</v>
      </c>
      <c r="T192" s="69"/>
      <c r="U192" s="68">
        <f t="shared" si="258"/>
        <v>0</v>
      </c>
      <c r="V192" s="62">
        <f t="shared" si="215"/>
        <v>5152.4753402058304</v>
      </c>
      <c r="W192" s="69">
        <f t="shared" si="275"/>
        <v>40</v>
      </c>
      <c r="X192" s="70">
        <f t="shared" ref="X192" si="291">100%-(V192/$F192)</f>
        <v>0</v>
      </c>
      <c r="Y192" s="69"/>
      <c r="Z192" s="68">
        <f t="shared" si="260"/>
        <v>0</v>
      </c>
      <c r="AA192" s="68">
        <f t="shared" si="216"/>
        <v>5152.4753402058304</v>
      </c>
      <c r="AB192" s="69">
        <f t="shared" si="269"/>
        <v>40</v>
      </c>
      <c r="AC192" s="70">
        <f t="shared" ref="AC192" si="292">100%-(AA192/$F192)</f>
        <v>0</v>
      </c>
      <c r="AD192" s="69"/>
      <c r="AE192" s="68">
        <f>AD192*I192</f>
        <v>0</v>
      </c>
      <c r="AF192" s="68">
        <f>F192-AE192</f>
        <v>5152.4753402058304</v>
      </c>
      <c r="AG192" s="69">
        <f>G192-AD192</f>
        <v>40</v>
      </c>
      <c r="AH192" s="70">
        <f t="shared" ref="AH192" si="293">100%-(AF192/$F192)</f>
        <v>0</v>
      </c>
    </row>
    <row r="193" spans="1:34" ht="15" customHeight="1" outlineLevel="2" x14ac:dyDescent="0.25">
      <c r="B193" s="71">
        <v>5015</v>
      </c>
      <c r="C193" s="56" t="s">
        <v>60</v>
      </c>
      <c r="E193" s="73">
        <v>2572.81</v>
      </c>
      <c r="F193" s="74">
        <f t="shared" si="270"/>
        <v>3395.2136501797863</v>
      </c>
      <c r="G193" s="75">
        <v>40</v>
      </c>
      <c r="H193" s="56" t="s">
        <v>40</v>
      </c>
      <c r="I193" s="73">
        <f t="shared" si="253"/>
        <v>84.880341254494653</v>
      </c>
      <c r="J193" s="69"/>
      <c r="K193" s="68">
        <f t="shared" si="254"/>
        <v>0</v>
      </c>
      <c r="L193" s="62">
        <f t="shared" si="217"/>
        <v>0</v>
      </c>
      <c r="M193" s="69">
        <f t="shared" si="271"/>
        <v>0</v>
      </c>
      <c r="O193" s="69"/>
      <c r="P193" s="68">
        <f t="shared" si="256"/>
        <v>0</v>
      </c>
      <c r="Q193" s="62">
        <f t="shared" si="218"/>
        <v>0</v>
      </c>
      <c r="R193" s="69">
        <f t="shared" si="273"/>
        <v>0</v>
      </c>
      <c r="U193" s="68">
        <f t="shared" si="258"/>
        <v>0</v>
      </c>
      <c r="V193" s="62">
        <f t="shared" si="215"/>
        <v>0</v>
      </c>
      <c r="W193" s="69">
        <f t="shared" si="275"/>
        <v>0</v>
      </c>
      <c r="Y193" s="75">
        <f t="shared" ref="Y193:Y198" si="294">$AD$192*B193/$G$192</f>
        <v>0</v>
      </c>
      <c r="Z193" s="68">
        <f t="shared" si="260"/>
        <v>0</v>
      </c>
      <c r="AA193" s="68">
        <f t="shared" si="216"/>
        <v>0</v>
      </c>
      <c r="AB193" s="69">
        <f t="shared" si="269"/>
        <v>0</v>
      </c>
      <c r="AD193" s="75">
        <f t="shared" ref="AD193:AD198" si="295">$AD$192*G193/$G$192</f>
        <v>0</v>
      </c>
    </row>
    <row r="194" spans="1:34" ht="15" customHeight="1" outlineLevel="2" x14ac:dyDescent="0.25">
      <c r="B194" s="71">
        <v>2185</v>
      </c>
      <c r="C194" s="56" t="s">
        <v>51</v>
      </c>
      <c r="E194" s="73">
        <v>547.52</v>
      </c>
      <c r="F194" s="74">
        <f t="shared" si="270"/>
        <v>722.53581793697811</v>
      </c>
      <c r="G194" s="75">
        <v>27.72</v>
      </c>
      <c r="H194" s="56" t="s">
        <v>43</v>
      </c>
      <c r="I194" s="73">
        <f t="shared" si="253"/>
        <v>26.065505697582182</v>
      </c>
      <c r="J194" s="69"/>
      <c r="K194" s="68">
        <f t="shared" si="254"/>
        <v>0</v>
      </c>
      <c r="L194" s="62">
        <f t="shared" si="217"/>
        <v>0</v>
      </c>
      <c r="M194" s="69">
        <f t="shared" si="271"/>
        <v>0</v>
      </c>
      <c r="O194" s="69"/>
      <c r="P194" s="68">
        <f t="shared" si="256"/>
        <v>0</v>
      </c>
      <c r="Q194" s="62">
        <f t="shared" si="218"/>
        <v>0</v>
      </c>
      <c r="R194" s="69">
        <f t="shared" si="273"/>
        <v>0</v>
      </c>
      <c r="U194" s="68">
        <f t="shared" si="258"/>
        <v>0</v>
      </c>
      <c r="V194" s="62">
        <f t="shared" si="215"/>
        <v>0</v>
      </c>
      <c r="W194" s="69">
        <f t="shared" si="275"/>
        <v>0</v>
      </c>
      <c r="Y194" s="75">
        <f t="shared" si="294"/>
        <v>0</v>
      </c>
      <c r="Z194" s="68">
        <f t="shared" ref="Z194:Z225" si="296">+Y194*I194</f>
        <v>0</v>
      </c>
      <c r="AA194" s="68">
        <f t="shared" si="216"/>
        <v>0</v>
      </c>
      <c r="AB194" s="69">
        <f t="shared" si="269"/>
        <v>0</v>
      </c>
      <c r="AD194" s="75">
        <f t="shared" si="295"/>
        <v>0</v>
      </c>
    </row>
    <row r="195" spans="1:34" ht="15" customHeight="1" outlineLevel="2" collapsed="1" x14ac:dyDescent="0.25">
      <c r="B195" s="71">
        <v>2149</v>
      </c>
      <c r="C195" s="56" t="s">
        <v>48</v>
      </c>
      <c r="E195" s="73">
        <v>235.04</v>
      </c>
      <c r="F195" s="74">
        <f t="shared" si="270"/>
        <v>310.17098671812414</v>
      </c>
      <c r="G195" s="75">
        <v>27.72</v>
      </c>
      <c r="H195" s="56" t="s">
        <v>43</v>
      </c>
      <c r="I195" s="73">
        <f t="shared" si="253"/>
        <v>11.189429535285864</v>
      </c>
      <c r="J195" s="69"/>
      <c r="K195" s="68">
        <f t="shared" si="254"/>
        <v>0</v>
      </c>
      <c r="L195" s="62">
        <f t="shared" si="217"/>
        <v>0</v>
      </c>
      <c r="M195" s="69">
        <f t="shared" si="271"/>
        <v>0</v>
      </c>
      <c r="O195" s="69"/>
      <c r="P195" s="68">
        <f t="shared" si="256"/>
        <v>0</v>
      </c>
      <c r="Q195" s="62">
        <f t="shared" si="218"/>
        <v>0</v>
      </c>
      <c r="R195" s="69">
        <f t="shared" si="273"/>
        <v>0</v>
      </c>
      <c r="U195" s="68">
        <f t="shared" si="258"/>
        <v>0</v>
      </c>
      <c r="V195" s="62">
        <f t="shared" si="215"/>
        <v>0</v>
      </c>
      <c r="W195" s="69">
        <f t="shared" si="275"/>
        <v>0</v>
      </c>
      <c r="Y195" s="75">
        <f t="shared" si="294"/>
        <v>0</v>
      </c>
      <c r="Z195" s="68">
        <f t="shared" si="296"/>
        <v>0</v>
      </c>
      <c r="AA195" s="68">
        <f t="shared" si="216"/>
        <v>0</v>
      </c>
      <c r="AB195" s="69">
        <f t="shared" si="269"/>
        <v>0</v>
      </c>
      <c r="AD195" s="75">
        <f t="shared" si="295"/>
        <v>0</v>
      </c>
    </row>
    <row r="196" spans="1:34" ht="15" customHeight="1" outlineLevel="2" x14ac:dyDescent="0.25">
      <c r="B196" s="71">
        <v>5480</v>
      </c>
      <c r="C196" s="56" t="s">
        <v>63</v>
      </c>
      <c r="E196" s="73">
        <v>268</v>
      </c>
      <c r="F196" s="74">
        <f t="shared" si="270"/>
        <v>353.66671392298025</v>
      </c>
      <c r="G196" s="75">
        <v>40</v>
      </c>
      <c r="H196" s="56" t="s">
        <v>40</v>
      </c>
      <c r="I196" s="73">
        <f t="shared" si="253"/>
        <v>8.8416678480745059</v>
      </c>
      <c r="J196" s="69"/>
      <c r="K196" s="68">
        <f t="shared" si="254"/>
        <v>0</v>
      </c>
      <c r="L196" s="62">
        <f t="shared" si="217"/>
        <v>0</v>
      </c>
      <c r="M196" s="69">
        <f t="shared" si="271"/>
        <v>0</v>
      </c>
      <c r="O196" s="69"/>
      <c r="P196" s="68">
        <f t="shared" si="256"/>
        <v>0</v>
      </c>
      <c r="Q196" s="62">
        <f t="shared" si="218"/>
        <v>0</v>
      </c>
      <c r="R196" s="69">
        <f t="shared" si="273"/>
        <v>0</v>
      </c>
      <c r="U196" s="68">
        <f t="shared" si="258"/>
        <v>0</v>
      </c>
      <c r="V196" s="62">
        <f t="shared" si="215"/>
        <v>0</v>
      </c>
      <c r="W196" s="69">
        <f t="shared" si="275"/>
        <v>0</v>
      </c>
      <c r="Y196" s="75">
        <f t="shared" si="294"/>
        <v>0</v>
      </c>
      <c r="Z196" s="68">
        <f t="shared" si="296"/>
        <v>0</v>
      </c>
      <c r="AA196" s="68">
        <f t="shared" si="216"/>
        <v>0</v>
      </c>
      <c r="AB196" s="69">
        <f t="shared" si="269"/>
        <v>0</v>
      </c>
      <c r="AD196" s="75">
        <f t="shared" si="295"/>
        <v>0</v>
      </c>
    </row>
    <row r="197" spans="1:34" ht="15" customHeight="1" outlineLevel="2" x14ac:dyDescent="0.25">
      <c r="B197" s="71">
        <v>2150</v>
      </c>
      <c r="C197" s="56" t="s">
        <v>38</v>
      </c>
      <c r="E197" s="73">
        <v>207.6</v>
      </c>
      <c r="F197" s="74">
        <f t="shared" si="270"/>
        <v>273.95973809854735</v>
      </c>
      <c r="G197" s="75">
        <v>24.49</v>
      </c>
      <c r="H197" s="56" t="s">
        <v>43</v>
      </c>
      <c r="I197" s="73">
        <f t="shared" si="253"/>
        <v>11.186596084056649</v>
      </c>
      <c r="J197" s="69"/>
      <c r="K197" s="68">
        <f t="shared" si="254"/>
        <v>0</v>
      </c>
      <c r="L197" s="62">
        <f t="shared" si="217"/>
        <v>0</v>
      </c>
      <c r="M197" s="69">
        <f t="shared" si="271"/>
        <v>0</v>
      </c>
      <c r="O197" s="69"/>
      <c r="P197" s="68">
        <f t="shared" si="256"/>
        <v>0</v>
      </c>
      <c r="Q197" s="62">
        <f t="shared" si="218"/>
        <v>0</v>
      </c>
      <c r="R197" s="69">
        <f t="shared" si="273"/>
        <v>0</v>
      </c>
      <c r="U197" s="68">
        <f t="shared" si="258"/>
        <v>0</v>
      </c>
      <c r="V197" s="62">
        <f t="shared" ref="V197:V260" si="297">+AA197-U197</f>
        <v>0</v>
      </c>
      <c r="W197" s="69">
        <f t="shared" si="275"/>
        <v>0</v>
      </c>
      <c r="Y197" s="75">
        <f t="shared" si="294"/>
        <v>0</v>
      </c>
      <c r="Z197" s="68">
        <f t="shared" si="296"/>
        <v>0</v>
      </c>
      <c r="AA197" s="68">
        <f t="shared" ref="AA197:AA260" si="298">+AF197-Z197</f>
        <v>0</v>
      </c>
      <c r="AB197" s="69">
        <f t="shared" si="269"/>
        <v>0</v>
      </c>
      <c r="AD197" s="75">
        <f t="shared" si="295"/>
        <v>0</v>
      </c>
    </row>
    <row r="198" spans="1:34" ht="15" customHeight="1" outlineLevel="2" x14ac:dyDescent="0.25">
      <c r="B198" s="71">
        <v>2490</v>
      </c>
      <c r="C198" s="56" t="s">
        <v>37</v>
      </c>
      <c r="E198" s="73">
        <v>73.459999999999994</v>
      </c>
      <c r="F198" s="74">
        <f t="shared" si="270"/>
        <v>96.941629868590013</v>
      </c>
      <c r="G198" s="75">
        <v>24.49</v>
      </c>
      <c r="H198" s="56" t="s">
        <v>43</v>
      </c>
      <c r="I198" s="73">
        <f t="shared" si="253"/>
        <v>3.9584168994932631</v>
      </c>
      <c r="J198" s="69"/>
      <c r="K198" s="68">
        <f t="shared" si="254"/>
        <v>0</v>
      </c>
      <c r="L198" s="62">
        <f t="shared" si="217"/>
        <v>0</v>
      </c>
      <c r="M198" s="69">
        <f t="shared" si="271"/>
        <v>0</v>
      </c>
      <c r="O198" s="69"/>
      <c r="P198" s="68">
        <f t="shared" si="256"/>
        <v>0</v>
      </c>
      <c r="Q198" s="62">
        <f t="shared" si="218"/>
        <v>0</v>
      </c>
      <c r="R198" s="69">
        <f t="shared" si="273"/>
        <v>0</v>
      </c>
      <c r="U198" s="68">
        <f t="shared" si="258"/>
        <v>0</v>
      </c>
      <c r="V198" s="62">
        <f t="shared" si="297"/>
        <v>0</v>
      </c>
      <c r="W198" s="69">
        <f t="shared" si="275"/>
        <v>0</v>
      </c>
      <c r="Y198" s="75">
        <f t="shared" si="294"/>
        <v>0</v>
      </c>
      <c r="Z198" s="68">
        <f t="shared" si="296"/>
        <v>0</v>
      </c>
      <c r="AA198" s="68">
        <f t="shared" si="298"/>
        <v>0</v>
      </c>
      <c r="AB198" s="69">
        <f t="shared" si="269"/>
        <v>0</v>
      </c>
      <c r="AD198" s="75">
        <f t="shared" si="295"/>
        <v>0</v>
      </c>
    </row>
    <row r="199" spans="1:34" ht="15" customHeight="1" outlineLevel="1" x14ac:dyDescent="0.25">
      <c r="A199" s="67"/>
      <c r="B199" s="66"/>
      <c r="C199" s="67" t="s">
        <v>181</v>
      </c>
      <c r="D199" s="68"/>
      <c r="E199" s="68">
        <v>17720.88</v>
      </c>
      <c r="F199" s="68">
        <f t="shared" si="270"/>
        <v>23385.393273968144</v>
      </c>
      <c r="G199" s="69">
        <v>1</v>
      </c>
      <c r="H199" s="67" t="s">
        <v>39</v>
      </c>
      <c r="I199" s="68">
        <f t="shared" si="253"/>
        <v>23385.393273968144</v>
      </c>
      <c r="J199" s="69"/>
      <c r="K199" s="68">
        <f t="shared" si="254"/>
        <v>0</v>
      </c>
      <c r="L199" s="62">
        <f t="shared" ref="L199:L262" si="299">+Q199-K199</f>
        <v>23385.393273968144</v>
      </c>
      <c r="M199" s="69">
        <f t="shared" si="271"/>
        <v>1</v>
      </c>
      <c r="N199" s="70">
        <f t="shared" ref="N199" si="300">100%-(L199/$F199)</f>
        <v>0</v>
      </c>
      <c r="O199" s="69"/>
      <c r="P199" s="68">
        <f t="shared" si="256"/>
        <v>0</v>
      </c>
      <c r="Q199" s="62">
        <f t="shared" ref="Q199:Q262" si="301">+V199-P199</f>
        <v>23385.393273968144</v>
      </c>
      <c r="R199" s="69">
        <f t="shared" si="273"/>
        <v>1</v>
      </c>
      <c r="S199" s="70">
        <f t="shared" ref="S199" si="302">100%-(Q199/$F199)</f>
        <v>0</v>
      </c>
      <c r="T199" s="69"/>
      <c r="U199" s="68">
        <f t="shared" si="258"/>
        <v>0</v>
      </c>
      <c r="V199" s="62">
        <f t="shared" si="297"/>
        <v>23385.393273968144</v>
      </c>
      <c r="W199" s="69">
        <f t="shared" si="275"/>
        <v>1</v>
      </c>
      <c r="X199" s="70">
        <f t="shared" ref="X199" si="303">100%-(V199/$F199)</f>
        <v>0</v>
      </c>
      <c r="Y199" s="69"/>
      <c r="Z199" s="68">
        <f t="shared" si="296"/>
        <v>0</v>
      </c>
      <c r="AA199" s="68">
        <f t="shared" si="298"/>
        <v>23385.393273968144</v>
      </c>
      <c r="AB199" s="69">
        <f t="shared" si="269"/>
        <v>1</v>
      </c>
      <c r="AC199" s="70">
        <f t="shared" ref="AC199" si="304">100%-(AA199/$F199)</f>
        <v>0</v>
      </c>
      <c r="AD199" s="69"/>
      <c r="AE199" s="68">
        <f>AD199*I199</f>
        <v>0</v>
      </c>
      <c r="AF199" s="68">
        <f>F199-AE199</f>
        <v>23385.393273968144</v>
      </c>
      <c r="AG199" s="69">
        <f>G199-AD199</f>
        <v>1</v>
      </c>
      <c r="AH199" s="70">
        <f t="shared" ref="AH199" si="305">100%-(AF199/$F199)</f>
        <v>0</v>
      </c>
    </row>
    <row r="200" spans="1:34" ht="15" customHeight="1" outlineLevel="2" x14ac:dyDescent="0.25">
      <c r="B200" s="71">
        <v>4430</v>
      </c>
      <c r="C200" s="56" t="s">
        <v>169</v>
      </c>
      <c r="E200" s="73">
        <v>3717.18</v>
      </c>
      <c r="F200" s="74">
        <f t="shared" si="270"/>
        <v>4905.3837151500884</v>
      </c>
      <c r="G200" s="75">
        <v>1</v>
      </c>
      <c r="H200" s="56" t="s">
        <v>39</v>
      </c>
      <c r="I200" s="73">
        <f t="shared" si="253"/>
        <v>4905.3837151500884</v>
      </c>
      <c r="J200" s="69"/>
      <c r="K200" s="68">
        <f t="shared" si="254"/>
        <v>0</v>
      </c>
      <c r="L200" s="62">
        <f t="shared" si="299"/>
        <v>0</v>
      </c>
      <c r="M200" s="69">
        <f t="shared" si="271"/>
        <v>0</v>
      </c>
      <c r="O200" s="69"/>
      <c r="P200" s="68">
        <f t="shared" si="256"/>
        <v>0</v>
      </c>
      <c r="Q200" s="62">
        <f t="shared" si="301"/>
        <v>0</v>
      </c>
      <c r="R200" s="69">
        <f t="shared" si="273"/>
        <v>0</v>
      </c>
      <c r="U200" s="68">
        <f t="shared" si="258"/>
        <v>0</v>
      </c>
      <c r="V200" s="62">
        <f t="shared" si="297"/>
        <v>0</v>
      </c>
      <c r="W200" s="69">
        <f t="shared" si="275"/>
        <v>0</v>
      </c>
      <c r="Y200" s="75">
        <f t="shared" ref="Y200:Y205" si="306">$AD$199*B200/$G$199</f>
        <v>0</v>
      </c>
      <c r="Z200" s="68">
        <f t="shared" si="296"/>
        <v>0</v>
      </c>
      <c r="AA200" s="68">
        <f t="shared" si="298"/>
        <v>0</v>
      </c>
      <c r="AB200" s="69">
        <f t="shared" si="269"/>
        <v>0</v>
      </c>
      <c r="AD200" s="75">
        <f t="shared" ref="AD200:AD205" si="307">$AD$199*G200/$G$199</f>
        <v>0</v>
      </c>
    </row>
    <row r="201" spans="1:34" ht="15" customHeight="1" outlineLevel="2" x14ac:dyDescent="0.25">
      <c r="B201" s="71">
        <v>5490</v>
      </c>
      <c r="C201" s="56" t="s">
        <v>94</v>
      </c>
      <c r="E201" s="73">
        <v>6325</v>
      </c>
      <c r="F201" s="74">
        <f t="shared" si="270"/>
        <v>8346.7983789658574</v>
      </c>
      <c r="G201" s="75">
        <v>1</v>
      </c>
      <c r="H201" s="56" t="s">
        <v>34</v>
      </c>
      <c r="I201" s="73">
        <f t="shared" si="253"/>
        <v>8346.7983789658574</v>
      </c>
      <c r="J201" s="69"/>
      <c r="K201" s="68">
        <f t="shared" si="254"/>
        <v>0</v>
      </c>
      <c r="L201" s="62">
        <f t="shared" si="299"/>
        <v>0</v>
      </c>
      <c r="M201" s="69">
        <f t="shared" si="271"/>
        <v>0</v>
      </c>
      <c r="O201" s="69"/>
      <c r="P201" s="68">
        <f t="shared" si="256"/>
        <v>0</v>
      </c>
      <c r="Q201" s="62">
        <f t="shared" si="301"/>
        <v>0</v>
      </c>
      <c r="R201" s="69">
        <f t="shared" si="273"/>
        <v>0</v>
      </c>
      <c r="U201" s="68">
        <f t="shared" si="258"/>
        <v>0</v>
      </c>
      <c r="V201" s="62">
        <f t="shared" si="297"/>
        <v>0</v>
      </c>
      <c r="W201" s="69">
        <f t="shared" si="275"/>
        <v>0</v>
      </c>
      <c r="Y201" s="75">
        <f t="shared" si="306"/>
        <v>0</v>
      </c>
      <c r="Z201" s="68">
        <f t="shared" si="296"/>
        <v>0</v>
      </c>
      <c r="AA201" s="68">
        <f t="shared" si="298"/>
        <v>0</v>
      </c>
      <c r="AB201" s="69">
        <f t="shared" si="269"/>
        <v>0</v>
      </c>
      <c r="AD201" s="75">
        <f t="shared" si="307"/>
        <v>0</v>
      </c>
    </row>
    <row r="202" spans="1:34" ht="15" customHeight="1" outlineLevel="2" collapsed="1" x14ac:dyDescent="0.25">
      <c r="B202" s="71">
        <v>2185</v>
      </c>
      <c r="C202" s="56" t="s">
        <v>51</v>
      </c>
      <c r="E202" s="73">
        <v>4740</v>
      </c>
      <c r="F202" s="74">
        <f t="shared" si="270"/>
        <v>6255.1500895333074</v>
      </c>
      <c r="G202" s="75">
        <v>12</v>
      </c>
      <c r="H202" s="56" t="s">
        <v>43</v>
      </c>
      <c r="I202" s="73">
        <f t="shared" si="253"/>
        <v>521.26250746110895</v>
      </c>
      <c r="J202" s="69"/>
      <c r="K202" s="68">
        <f t="shared" si="254"/>
        <v>0</v>
      </c>
      <c r="L202" s="62">
        <f t="shared" si="299"/>
        <v>0</v>
      </c>
      <c r="M202" s="69">
        <f t="shared" si="271"/>
        <v>0</v>
      </c>
      <c r="O202" s="69"/>
      <c r="P202" s="68">
        <f t="shared" si="256"/>
        <v>0</v>
      </c>
      <c r="Q202" s="62">
        <f t="shared" si="301"/>
        <v>0</v>
      </c>
      <c r="R202" s="69">
        <f t="shared" si="273"/>
        <v>0</v>
      </c>
      <c r="U202" s="68">
        <f t="shared" si="258"/>
        <v>0</v>
      </c>
      <c r="V202" s="62">
        <f t="shared" si="297"/>
        <v>0</v>
      </c>
      <c r="W202" s="69">
        <f t="shared" si="275"/>
        <v>0</v>
      </c>
      <c r="Y202" s="75">
        <f t="shared" si="306"/>
        <v>0</v>
      </c>
      <c r="Z202" s="68">
        <f t="shared" si="296"/>
        <v>0</v>
      </c>
      <c r="AA202" s="68">
        <f t="shared" si="298"/>
        <v>0</v>
      </c>
      <c r="AB202" s="69">
        <f t="shared" si="269"/>
        <v>0</v>
      </c>
      <c r="AD202" s="75">
        <f t="shared" si="307"/>
        <v>0</v>
      </c>
    </row>
    <row r="203" spans="1:34" ht="15" customHeight="1" outlineLevel="2" x14ac:dyDescent="0.25">
      <c r="B203" s="71">
        <v>2149</v>
      </c>
      <c r="C203" s="56" t="s">
        <v>48</v>
      </c>
      <c r="E203" s="73">
        <v>2034.78</v>
      </c>
      <c r="F203" s="74">
        <f t="shared" si="270"/>
        <v>2685.2013289410511</v>
      </c>
      <c r="G203" s="75">
        <v>12</v>
      </c>
      <c r="H203" s="56" t="s">
        <v>43</v>
      </c>
      <c r="I203" s="73">
        <f t="shared" si="253"/>
        <v>223.76677741175425</v>
      </c>
      <c r="J203" s="69"/>
      <c r="K203" s="68">
        <f t="shared" si="254"/>
        <v>0</v>
      </c>
      <c r="L203" s="62">
        <f t="shared" si="299"/>
        <v>0</v>
      </c>
      <c r="M203" s="69">
        <f t="shared" si="271"/>
        <v>0</v>
      </c>
      <c r="O203" s="69"/>
      <c r="P203" s="68">
        <f t="shared" si="256"/>
        <v>0</v>
      </c>
      <c r="Q203" s="62">
        <f t="shared" si="301"/>
        <v>0</v>
      </c>
      <c r="R203" s="69">
        <f t="shared" si="273"/>
        <v>0</v>
      </c>
      <c r="U203" s="68">
        <f t="shared" si="258"/>
        <v>0</v>
      </c>
      <c r="V203" s="62">
        <f t="shared" si="297"/>
        <v>0</v>
      </c>
      <c r="W203" s="69">
        <f t="shared" si="275"/>
        <v>0</v>
      </c>
      <c r="Y203" s="75">
        <f t="shared" si="306"/>
        <v>0</v>
      </c>
      <c r="Z203" s="68">
        <f t="shared" si="296"/>
        <v>0</v>
      </c>
      <c r="AA203" s="68">
        <f t="shared" si="298"/>
        <v>0</v>
      </c>
      <c r="AB203" s="69">
        <f t="shared" si="269"/>
        <v>0</v>
      </c>
      <c r="AD203" s="75">
        <f t="shared" si="307"/>
        <v>0</v>
      </c>
    </row>
    <row r="204" spans="1:34" ht="15" customHeight="1" outlineLevel="2" x14ac:dyDescent="0.25">
      <c r="B204" s="71">
        <v>2150</v>
      </c>
      <c r="C204" s="56" t="s">
        <v>38</v>
      </c>
      <c r="E204" s="73">
        <v>667.66</v>
      </c>
      <c r="F204" s="74">
        <f t="shared" si="270"/>
        <v>881.07879932021262</v>
      </c>
      <c r="G204" s="75">
        <v>78.75</v>
      </c>
      <c r="H204" s="56" t="s">
        <v>43</v>
      </c>
      <c r="I204" s="73">
        <f t="shared" si="253"/>
        <v>11.188302213590001</v>
      </c>
      <c r="J204" s="69"/>
      <c r="K204" s="68">
        <f t="shared" si="254"/>
        <v>0</v>
      </c>
      <c r="L204" s="62">
        <f t="shared" si="299"/>
        <v>0</v>
      </c>
      <c r="M204" s="69">
        <f t="shared" si="271"/>
        <v>0</v>
      </c>
      <c r="O204" s="69"/>
      <c r="P204" s="68">
        <f t="shared" si="256"/>
        <v>0</v>
      </c>
      <c r="Q204" s="62">
        <f t="shared" si="301"/>
        <v>0</v>
      </c>
      <c r="R204" s="69">
        <f t="shared" si="273"/>
        <v>0</v>
      </c>
      <c r="U204" s="68">
        <f t="shared" si="258"/>
        <v>0</v>
      </c>
      <c r="V204" s="62">
        <f t="shared" si="297"/>
        <v>0</v>
      </c>
      <c r="W204" s="69">
        <f t="shared" si="275"/>
        <v>0</v>
      </c>
      <c r="Y204" s="75">
        <f t="shared" si="306"/>
        <v>0</v>
      </c>
      <c r="Z204" s="68">
        <f t="shared" si="296"/>
        <v>0</v>
      </c>
      <c r="AA204" s="68">
        <f t="shared" si="298"/>
        <v>0</v>
      </c>
      <c r="AB204" s="69">
        <f t="shared" si="269"/>
        <v>0</v>
      </c>
      <c r="AD204" s="75">
        <f t="shared" si="307"/>
        <v>0</v>
      </c>
    </row>
    <row r="205" spans="1:34" ht="15" customHeight="1" outlineLevel="2" collapsed="1" x14ac:dyDescent="0.25">
      <c r="B205" s="71">
        <v>2490</v>
      </c>
      <c r="C205" s="56" t="s">
        <v>37</v>
      </c>
      <c r="E205" s="73">
        <v>236.25</v>
      </c>
      <c r="F205" s="74">
        <f t="shared" si="270"/>
        <v>311.76776553844803</v>
      </c>
      <c r="G205" s="75">
        <v>78.75</v>
      </c>
      <c r="H205" s="56" t="s">
        <v>43</v>
      </c>
      <c r="I205" s="73">
        <f t="shared" si="253"/>
        <v>3.9589557528691812</v>
      </c>
      <c r="J205" s="69"/>
      <c r="K205" s="68">
        <f t="shared" si="254"/>
        <v>0</v>
      </c>
      <c r="L205" s="62">
        <f t="shared" si="299"/>
        <v>0</v>
      </c>
      <c r="M205" s="69">
        <f t="shared" si="271"/>
        <v>0</v>
      </c>
      <c r="O205" s="69"/>
      <c r="P205" s="68">
        <f t="shared" si="256"/>
        <v>0</v>
      </c>
      <c r="Q205" s="62">
        <f t="shared" si="301"/>
        <v>0</v>
      </c>
      <c r="R205" s="69">
        <f t="shared" si="273"/>
        <v>0</v>
      </c>
      <c r="U205" s="68">
        <f t="shared" si="258"/>
        <v>0</v>
      </c>
      <c r="V205" s="62">
        <f t="shared" si="297"/>
        <v>0</v>
      </c>
      <c r="W205" s="69">
        <f t="shared" si="275"/>
        <v>0</v>
      </c>
      <c r="Y205" s="75">
        <f t="shared" si="306"/>
        <v>0</v>
      </c>
      <c r="Z205" s="68">
        <f t="shared" si="296"/>
        <v>0</v>
      </c>
      <c r="AA205" s="68">
        <f t="shared" si="298"/>
        <v>0</v>
      </c>
      <c r="AB205" s="69">
        <f t="shared" si="269"/>
        <v>0</v>
      </c>
      <c r="AD205" s="75">
        <f t="shared" si="307"/>
        <v>0</v>
      </c>
    </row>
    <row r="206" spans="1:34" ht="15" customHeight="1" outlineLevel="1" x14ac:dyDescent="0.25">
      <c r="A206" s="67"/>
      <c r="B206" s="66"/>
      <c r="C206" s="67" t="s">
        <v>182</v>
      </c>
      <c r="D206" s="68"/>
      <c r="E206" s="68">
        <v>17860.89</v>
      </c>
      <c r="F206" s="68">
        <f t="shared" si="270"/>
        <v>23570.157738954545</v>
      </c>
      <c r="G206" s="69">
        <v>10</v>
      </c>
      <c r="H206" s="67" t="s">
        <v>39</v>
      </c>
      <c r="I206" s="68">
        <f t="shared" si="253"/>
        <v>2357.0157738954545</v>
      </c>
      <c r="J206" s="69"/>
      <c r="K206" s="68">
        <f t="shared" si="254"/>
        <v>0</v>
      </c>
      <c r="L206" s="62">
        <f t="shared" si="299"/>
        <v>23570.157738954545</v>
      </c>
      <c r="M206" s="69">
        <f t="shared" si="271"/>
        <v>10</v>
      </c>
      <c r="N206" s="70">
        <f t="shared" ref="N206" si="308">100%-(L206/$F206)</f>
        <v>0</v>
      </c>
      <c r="O206" s="69"/>
      <c r="P206" s="68">
        <f t="shared" si="256"/>
        <v>0</v>
      </c>
      <c r="Q206" s="62">
        <f t="shared" si="301"/>
        <v>23570.157738954545</v>
      </c>
      <c r="R206" s="69">
        <f t="shared" si="273"/>
        <v>10</v>
      </c>
      <c r="S206" s="70">
        <f t="shared" ref="S206" si="309">100%-(Q206/$F206)</f>
        <v>0</v>
      </c>
      <c r="T206" s="69"/>
      <c r="U206" s="68">
        <f t="shared" si="258"/>
        <v>0</v>
      </c>
      <c r="V206" s="62">
        <f t="shared" si="297"/>
        <v>23570.157738954545</v>
      </c>
      <c r="W206" s="69">
        <f t="shared" si="275"/>
        <v>10</v>
      </c>
      <c r="X206" s="70">
        <f t="shared" ref="X206" si="310">100%-(V206/$F206)</f>
        <v>0</v>
      </c>
      <c r="Y206" s="69"/>
      <c r="Z206" s="68">
        <f t="shared" si="296"/>
        <v>0</v>
      </c>
      <c r="AA206" s="68">
        <f t="shared" si="298"/>
        <v>23570.157738954545</v>
      </c>
      <c r="AB206" s="69">
        <f t="shared" si="269"/>
        <v>10</v>
      </c>
      <c r="AC206" s="70">
        <f t="shared" ref="AC206" si="311">100%-(AA206/$F206)</f>
        <v>0</v>
      </c>
      <c r="AD206" s="69"/>
      <c r="AE206" s="68">
        <f>AD206*I206</f>
        <v>0</v>
      </c>
      <c r="AF206" s="68">
        <f>F206-AE206</f>
        <v>23570.157738954545</v>
      </c>
      <c r="AG206" s="69">
        <f>G206-AD206</f>
        <v>10</v>
      </c>
      <c r="AH206" s="70">
        <f t="shared" ref="AH206" si="312">100%-(AF206/$F206)</f>
        <v>0</v>
      </c>
    </row>
    <row r="207" spans="1:34" ht="15" customHeight="1" outlineLevel="2" x14ac:dyDescent="0.25">
      <c r="B207" s="71">
        <v>5110</v>
      </c>
      <c r="C207" s="56" t="s">
        <v>62</v>
      </c>
      <c r="E207" s="73">
        <v>12508.75</v>
      </c>
      <c r="F207" s="74">
        <f t="shared" si="270"/>
        <v>16507.195924567459</v>
      </c>
      <c r="G207" s="75">
        <v>10</v>
      </c>
      <c r="H207" s="56" t="s">
        <v>39</v>
      </c>
      <c r="I207" s="73">
        <f t="shared" si="253"/>
        <v>1650.7195924567459</v>
      </c>
      <c r="J207" s="69"/>
      <c r="K207" s="68">
        <f t="shared" si="254"/>
        <v>0</v>
      </c>
      <c r="L207" s="62">
        <f t="shared" si="299"/>
        <v>0</v>
      </c>
      <c r="M207" s="69">
        <f t="shared" si="271"/>
        <v>0</v>
      </c>
      <c r="O207" s="69"/>
      <c r="P207" s="68">
        <f t="shared" si="256"/>
        <v>0</v>
      </c>
      <c r="Q207" s="62">
        <f t="shared" si="301"/>
        <v>0</v>
      </c>
      <c r="R207" s="69">
        <f t="shared" si="273"/>
        <v>0</v>
      </c>
      <c r="U207" s="68">
        <f t="shared" si="258"/>
        <v>0</v>
      </c>
      <c r="V207" s="62">
        <f t="shared" si="297"/>
        <v>0</v>
      </c>
      <c r="W207" s="69">
        <f t="shared" si="275"/>
        <v>0</v>
      </c>
      <c r="Y207" s="75">
        <f>$AD$206*B207/$G$206</f>
        <v>0</v>
      </c>
      <c r="Z207" s="68">
        <f t="shared" si="296"/>
        <v>0</v>
      </c>
      <c r="AA207" s="68">
        <f t="shared" si="298"/>
        <v>0</v>
      </c>
      <c r="AB207" s="69">
        <f t="shared" si="269"/>
        <v>0</v>
      </c>
      <c r="AD207" s="75">
        <f>$AD$206*G207/$G$206</f>
        <v>0</v>
      </c>
    </row>
    <row r="208" spans="1:34" ht="15" customHeight="1" outlineLevel="2" x14ac:dyDescent="0.25">
      <c r="B208" s="71">
        <v>2185</v>
      </c>
      <c r="C208" s="56" t="s">
        <v>51</v>
      </c>
      <c r="E208" s="73">
        <v>88.88</v>
      </c>
      <c r="F208" s="74">
        <f t="shared" si="270"/>
        <v>117.29066243833762</v>
      </c>
      <c r="G208" s="75">
        <v>4.5</v>
      </c>
      <c r="H208" s="56" t="s">
        <v>43</v>
      </c>
      <c r="I208" s="73">
        <f t="shared" si="253"/>
        <v>26.064591652963916</v>
      </c>
      <c r="J208" s="69"/>
      <c r="K208" s="68">
        <f t="shared" si="254"/>
        <v>0</v>
      </c>
      <c r="L208" s="62">
        <f t="shared" si="299"/>
        <v>0</v>
      </c>
      <c r="M208" s="69">
        <f t="shared" si="271"/>
        <v>0</v>
      </c>
      <c r="O208" s="69"/>
      <c r="P208" s="68">
        <f t="shared" si="256"/>
        <v>0</v>
      </c>
      <c r="Q208" s="62">
        <f t="shared" si="301"/>
        <v>0</v>
      </c>
      <c r="R208" s="69">
        <f t="shared" si="273"/>
        <v>0</v>
      </c>
      <c r="U208" s="68">
        <f t="shared" si="258"/>
        <v>0</v>
      </c>
      <c r="V208" s="62">
        <f t="shared" si="297"/>
        <v>0</v>
      </c>
      <c r="W208" s="69">
        <f t="shared" si="275"/>
        <v>0</v>
      </c>
      <c r="Y208" s="75">
        <f>$AD$206*B208/$G$206</f>
        <v>0</v>
      </c>
      <c r="Z208" s="68">
        <f t="shared" si="296"/>
        <v>0</v>
      </c>
      <c r="AA208" s="68">
        <f t="shared" si="298"/>
        <v>0</v>
      </c>
      <c r="AB208" s="69">
        <f t="shared" si="269"/>
        <v>0</v>
      </c>
      <c r="AD208" s="75">
        <f>$AD$206*G208/$G$206</f>
        <v>0</v>
      </c>
    </row>
    <row r="209" spans="1:34" ht="15" customHeight="1" outlineLevel="2" collapsed="1" x14ac:dyDescent="0.25">
      <c r="B209" s="71">
        <v>2149</v>
      </c>
      <c r="C209" s="56" t="s">
        <v>48</v>
      </c>
      <c r="E209" s="73">
        <v>38.15</v>
      </c>
      <c r="F209" s="74">
        <f t="shared" si="270"/>
        <v>50.344720657319755</v>
      </c>
      <c r="G209" s="75">
        <v>4.5</v>
      </c>
      <c r="H209" s="56" t="s">
        <v>43</v>
      </c>
      <c r="I209" s="73">
        <f t="shared" si="253"/>
        <v>11.187715701626612</v>
      </c>
      <c r="J209" s="69"/>
      <c r="K209" s="68">
        <f t="shared" si="254"/>
        <v>0</v>
      </c>
      <c r="L209" s="62">
        <f t="shared" si="299"/>
        <v>0</v>
      </c>
      <c r="M209" s="69">
        <f t="shared" si="271"/>
        <v>0</v>
      </c>
      <c r="O209" s="69"/>
      <c r="P209" s="68">
        <f t="shared" si="256"/>
        <v>0</v>
      </c>
      <c r="Q209" s="62">
        <f t="shared" si="301"/>
        <v>0</v>
      </c>
      <c r="R209" s="69">
        <f t="shared" si="273"/>
        <v>0</v>
      </c>
      <c r="U209" s="68">
        <f t="shared" si="258"/>
        <v>0</v>
      </c>
      <c r="V209" s="62">
        <f t="shared" si="297"/>
        <v>0</v>
      </c>
      <c r="W209" s="69">
        <f t="shared" si="275"/>
        <v>0</v>
      </c>
      <c r="Y209" s="75">
        <f>$AD$206*B209/$G$206</f>
        <v>0</v>
      </c>
      <c r="Z209" s="68">
        <f t="shared" si="296"/>
        <v>0</v>
      </c>
      <c r="AA209" s="68">
        <f t="shared" si="298"/>
        <v>0</v>
      </c>
      <c r="AB209" s="69">
        <f t="shared" si="269"/>
        <v>0</v>
      </c>
      <c r="AD209" s="75">
        <f>$AD$206*G209/$G$206</f>
        <v>0</v>
      </c>
    </row>
    <row r="210" spans="1:34" ht="15" customHeight="1" outlineLevel="2" x14ac:dyDescent="0.25">
      <c r="B210" s="71">
        <v>5105</v>
      </c>
      <c r="C210" s="56" t="s">
        <v>61</v>
      </c>
      <c r="E210" s="73">
        <v>854.84</v>
      </c>
      <c r="F210" s="74">
        <f t="shared" si="270"/>
        <v>1128.091245260897</v>
      </c>
      <c r="G210" s="75">
        <v>10</v>
      </c>
      <c r="H210" s="56" t="s">
        <v>39</v>
      </c>
      <c r="I210" s="73">
        <f t="shared" si="253"/>
        <v>112.8091245260897</v>
      </c>
      <c r="J210" s="69"/>
      <c r="K210" s="68">
        <f t="shared" si="254"/>
        <v>0</v>
      </c>
      <c r="L210" s="62">
        <f t="shared" si="299"/>
        <v>0</v>
      </c>
      <c r="M210" s="69">
        <f t="shared" si="271"/>
        <v>0</v>
      </c>
      <c r="O210" s="69"/>
      <c r="P210" s="68">
        <f t="shared" si="256"/>
        <v>0</v>
      </c>
      <c r="Q210" s="62">
        <f t="shared" si="301"/>
        <v>0</v>
      </c>
      <c r="R210" s="69">
        <f t="shared" si="273"/>
        <v>0</v>
      </c>
      <c r="U210" s="68">
        <f t="shared" si="258"/>
        <v>0</v>
      </c>
      <c r="V210" s="62">
        <f t="shared" si="297"/>
        <v>0</v>
      </c>
      <c r="W210" s="69">
        <f t="shared" si="275"/>
        <v>0</v>
      </c>
      <c r="Y210" s="75">
        <f>$AD$206*B210/$G$206</f>
        <v>0</v>
      </c>
      <c r="Z210" s="68">
        <f t="shared" si="296"/>
        <v>0</v>
      </c>
      <c r="AA210" s="68">
        <f t="shared" si="298"/>
        <v>0</v>
      </c>
      <c r="AB210" s="69">
        <f t="shared" si="269"/>
        <v>0</v>
      </c>
      <c r="AD210" s="75">
        <f>$AD$206*G210/$G$206</f>
        <v>0</v>
      </c>
    </row>
    <row r="211" spans="1:34" ht="15" customHeight="1" outlineLevel="2" x14ac:dyDescent="0.25">
      <c r="B211" s="71">
        <v>3295</v>
      </c>
      <c r="C211" s="56" t="s">
        <v>53</v>
      </c>
      <c r="E211" s="73">
        <v>4370.2700000000004</v>
      </c>
      <c r="F211" s="74">
        <f t="shared" si="270"/>
        <v>5767.2351860305334</v>
      </c>
      <c r="G211" s="75">
        <v>10</v>
      </c>
      <c r="H211" s="56" t="s">
        <v>39</v>
      </c>
      <c r="I211" s="73">
        <f t="shared" si="253"/>
        <v>576.72351860305332</v>
      </c>
      <c r="J211" s="69"/>
      <c r="K211" s="68">
        <f t="shared" si="254"/>
        <v>0</v>
      </c>
      <c r="L211" s="62">
        <f t="shared" si="299"/>
        <v>0</v>
      </c>
      <c r="M211" s="69">
        <f t="shared" si="271"/>
        <v>0</v>
      </c>
      <c r="O211" s="69"/>
      <c r="P211" s="68">
        <f t="shared" si="256"/>
        <v>0</v>
      </c>
      <c r="Q211" s="62">
        <f t="shared" si="301"/>
        <v>0</v>
      </c>
      <c r="R211" s="69">
        <f t="shared" si="273"/>
        <v>0</v>
      </c>
      <c r="U211" s="68">
        <f t="shared" si="258"/>
        <v>0</v>
      </c>
      <c r="V211" s="62">
        <f t="shared" si="297"/>
        <v>0</v>
      </c>
      <c r="W211" s="69">
        <f t="shared" si="275"/>
        <v>0</v>
      </c>
      <c r="Y211" s="75">
        <f>$AD$206*B211/$G$206</f>
        <v>0</v>
      </c>
      <c r="Z211" s="68">
        <f t="shared" si="296"/>
        <v>0</v>
      </c>
      <c r="AA211" s="68">
        <f t="shared" si="298"/>
        <v>0</v>
      </c>
      <c r="AB211" s="69">
        <f t="shared" si="269"/>
        <v>0</v>
      </c>
      <c r="AD211" s="75">
        <f>$AD$206*G211/$G$206</f>
        <v>0</v>
      </c>
    </row>
    <row r="212" spans="1:34" ht="15" customHeight="1" outlineLevel="1" x14ac:dyDescent="0.25">
      <c r="A212" s="67"/>
      <c r="B212" s="66"/>
      <c r="C212" s="67" t="s">
        <v>184</v>
      </c>
      <c r="D212" s="68"/>
      <c r="E212" s="68">
        <v>21746.32</v>
      </c>
      <c r="F212" s="68">
        <f t="shared" si="270"/>
        <v>28697.572889244715</v>
      </c>
      <c r="G212" s="69">
        <v>15</v>
      </c>
      <c r="H212" s="67" t="s">
        <v>39</v>
      </c>
      <c r="I212" s="68">
        <f t="shared" si="253"/>
        <v>1913.1715259496477</v>
      </c>
      <c r="J212" s="69"/>
      <c r="K212" s="68">
        <f t="shared" si="254"/>
        <v>0</v>
      </c>
      <c r="L212" s="62">
        <f t="shared" si="299"/>
        <v>5739.5145778489441</v>
      </c>
      <c r="M212" s="69">
        <f t="shared" si="271"/>
        <v>3</v>
      </c>
      <c r="N212" s="70">
        <f t="shared" ref="N212" si="313">100%-(L212/$F212)</f>
        <v>0.79999999999999993</v>
      </c>
      <c r="O212" s="69">
        <v>6</v>
      </c>
      <c r="P212" s="68">
        <f t="shared" si="256"/>
        <v>11479.029155697886</v>
      </c>
      <c r="Q212" s="62">
        <f t="shared" si="301"/>
        <v>5739.5145778489441</v>
      </c>
      <c r="R212" s="69">
        <f t="shared" si="273"/>
        <v>3</v>
      </c>
      <c r="S212" s="70">
        <f t="shared" ref="S212" si="314">100%-(Q212/$F212)</f>
        <v>0.79999999999999993</v>
      </c>
      <c r="T212" s="69">
        <v>6</v>
      </c>
      <c r="U212" s="68">
        <f t="shared" si="258"/>
        <v>11479.029155697886</v>
      </c>
      <c r="V212" s="62">
        <f t="shared" si="297"/>
        <v>17218.54373354683</v>
      </c>
      <c r="W212" s="69">
        <f t="shared" si="275"/>
        <v>9</v>
      </c>
      <c r="X212" s="70">
        <f t="shared" ref="X212" si="315">100%-(V212/$F212)</f>
        <v>0.39999999999999991</v>
      </c>
      <c r="Y212" s="69"/>
      <c r="Z212" s="68">
        <f t="shared" si="296"/>
        <v>0</v>
      </c>
      <c r="AA212" s="68">
        <f t="shared" si="298"/>
        <v>28697.572889244715</v>
      </c>
      <c r="AB212" s="69">
        <f t="shared" si="269"/>
        <v>15</v>
      </c>
      <c r="AC212" s="70">
        <f t="shared" ref="AC212" si="316">100%-(AA212/$F212)</f>
        <v>0</v>
      </c>
      <c r="AD212" s="69"/>
      <c r="AE212" s="68">
        <f>AD212*I212</f>
        <v>0</v>
      </c>
      <c r="AF212" s="68">
        <f>F212-AE212</f>
        <v>28697.572889244715</v>
      </c>
      <c r="AG212" s="69">
        <f>G212-AD212</f>
        <v>15</v>
      </c>
      <c r="AH212" s="70">
        <f t="shared" ref="AH212" si="317">100%-(AF212/$F212)</f>
        <v>0</v>
      </c>
    </row>
    <row r="213" spans="1:34" ht="15" customHeight="1" outlineLevel="2" x14ac:dyDescent="0.25">
      <c r="B213" s="71">
        <v>5110</v>
      </c>
      <c r="C213" s="56" t="s">
        <v>62</v>
      </c>
      <c r="E213" s="73">
        <v>13761.81</v>
      </c>
      <c r="F213" s="74">
        <f t="shared" si="270"/>
        <v>18160.798956464212</v>
      </c>
      <c r="G213" s="75">
        <v>15</v>
      </c>
      <c r="H213" s="56" t="s">
        <v>39</v>
      </c>
      <c r="I213" s="73">
        <f t="shared" si="253"/>
        <v>1210.7199304309474</v>
      </c>
      <c r="K213" s="68">
        <f t="shared" si="254"/>
        <v>0</v>
      </c>
      <c r="L213" s="62">
        <f t="shared" si="299"/>
        <v>0</v>
      </c>
      <c r="M213" s="69">
        <f t="shared" si="271"/>
        <v>0</v>
      </c>
      <c r="P213" s="68">
        <f t="shared" si="256"/>
        <v>0</v>
      </c>
      <c r="Q213" s="62">
        <f t="shared" si="301"/>
        <v>0</v>
      </c>
      <c r="R213" s="69">
        <f t="shared" si="273"/>
        <v>0</v>
      </c>
      <c r="U213" s="68">
        <f t="shared" si="258"/>
        <v>0</v>
      </c>
      <c r="V213" s="62">
        <f t="shared" si="297"/>
        <v>0</v>
      </c>
      <c r="W213" s="69">
        <f t="shared" si="275"/>
        <v>0</v>
      </c>
      <c r="Y213" s="75">
        <f>$AD$212*B213/$G$212</f>
        <v>0</v>
      </c>
      <c r="Z213" s="68">
        <f t="shared" si="296"/>
        <v>0</v>
      </c>
      <c r="AA213" s="68">
        <f t="shared" si="298"/>
        <v>0</v>
      </c>
      <c r="AB213" s="69">
        <f t="shared" si="269"/>
        <v>0</v>
      </c>
      <c r="AD213" s="75">
        <f>$AD$212*G213/$G$212</f>
        <v>0</v>
      </c>
    </row>
    <row r="214" spans="1:34" ht="15" customHeight="1" outlineLevel="2" x14ac:dyDescent="0.25">
      <c r="B214" s="71">
        <v>2183</v>
      </c>
      <c r="C214" s="56" t="s">
        <v>80</v>
      </c>
      <c r="E214" s="73">
        <v>83.25</v>
      </c>
      <c r="F214" s="74">
        <f t="shared" si="270"/>
        <v>109.86102214211979</v>
      </c>
      <c r="G214" s="75">
        <v>7.5</v>
      </c>
      <c r="H214" s="56" t="s">
        <v>43</v>
      </c>
      <c r="I214" s="73">
        <f t="shared" si="253"/>
        <v>14.648136285615973</v>
      </c>
      <c r="K214" s="68">
        <f t="shared" si="254"/>
        <v>0</v>
      </c>
      <c r="L214" s="62">
        <f t="shared" si="299"/>
        <v>0</v>
      </c>
      <c r="M214" s="69">
        <f t="shared" si="271"/>
        <v>0</v>
      </c>
      <c r="P214" s="68">
        <f t="shared" si="256"/>
        <v>0</v>
      </c>
      <c r="Q214" s="62">
        <f t="shared" si="301"/>
        <v>0</v>
      </c>
      <c r="R214" s="69">
        <f t="shared" si="273"/>
        <v>0</v>
      </c>
      <c r="U214" s="68">
        <f t="shared" si="258"/>
        <v>0</v>
      </c>
      <c r="V214" s="62">
        <f t="shared" si="297"/>
        <v>0</v>
      </c>
      <c r="W214" s="69">
        <f t="shared" si="275"/>
        <v>0</v>
      </c>
      <c r="Y214" s="75">
        <f>$AD$212*B214/$G$212</f>
        <v>0</v>
      </c>
      <c r="Z214" s="68">
        <f t="shared" si="296"/>
        <v>0</v>
      </c>
      <c r="AA214" s="68">
        <f t="shared" si="298"/>
        <v>0</v>
      </c>
      <c r="AB214" s="69">
        <f t="shared" si="269"/>
        <v>0</v>
      </c>
      <c r="AD214" s="75">
        <f>$AD$212*G214/$G$212</f>
        <v>0</v>
      </c>
    </row>
    <row r="215" spans="1:34" ht="15" customHeight="1" outlineLevel="2" x14ac:dyDescent="0.25">
      <c r="B215" s="71">
        <v>2149</v>
      </c>
      <c r="C215" s="56" t="s">
        <v>48</v>
      </c>
      <c r="E215" s="73">
        <v>63.59</v>
      </c>
      <c r="F215" s="74">
        <f t="shared" si="270"/>
        <v>83.916665441650423</v>
      </c>
      <c r="G215" s="75">
        <v>7.5</v>
      </c>
      <c r="H215" s="56" t="s">
        <v>43</v>
      </c>
      <c r="I215" s="73">
        <f t="shared" si="253"/>
        <v>11.18888872555339</v>
      </c>
      <c r="K215" s="68">
        <f t="shared" si="254"/>
        <v>0</v>
      </c>
      <c r="L215" s="62">
        <f t="shared" si="299"/>
        <v>0</v>
      </c>
      <c r="M215" s="69">
        <f t="shared" si="271"/>
        <v>0</v>
      </c>
      <c r="P215" s="68">
        <f t="shared" si="256"/>
        <v>0</v>
      </c>
      <c r="Q215" s="62">
        <f t="shared" si="301"/>
        <v>0</v>
      </c>
      <c r="R215" s="69">
        <f t="shared" si="273"/>
        <v>0</v>
      </c>
      <c r="U215" s="68">
        <f t="shared" si="258"/>
        <v>0</v>
      </c>
      <c r="V215" s="62">
        <f t="shared" si="297"/>
        <v>0</v>
      </c>
      <c r="W215" s="69">
        <f t="shared" si="275"/>
        <v>0</v>
      </c>
      <c r="Y215" s="75">
        <f>$AD$212*B215/$G$212</f>
        <v>0</v>
      </c>
      <c r="Z215" s="68">
        <f t="shared" si="296"/>
        <v>0</v>
      </c>
      <c r="AA215" s="68">
        <f t="shared" si="298"/>
        <v>0</v>
      </c>
      <c r="AB215" s="69">
        <f t="shared" si="269"/>
        <v>0</v>
      </c>
      <c r="AD215" s="75">
        <f>$AD$212*G215/$G$212</f>
        <v>0</v>
      </c>
    </row>
    <row r="216" spans="1:34" ht="15" customHeight="1" outlineLevel="2" x14ac:dyDescent="0.25">
      <c r="B216" s="71">
        <v>5105</v>
      </c>
      <c r="C216" s="56" t="s">
        <v>61</v>
      </c>
      <c r="E216" s="73">
        <v>1282.26</v>
      </c>
      <c r="F216" s="74">
        <f t="shared" si="270"/>
        <v>1692.1368678913457</v>
      </c>
      <c r="G216" s="75">
        <v>15</v>
      </c>
      <c r="H216" s="56" t="s">
        <v>39</v>
      </c>
      <c r="I216" s="73">
        <f t="shared" si="253"/>
        <v>112.80912452608972</v>
      </c>
      <c r="K216" s="68">
        <f t="shared" si="254"/>
        <v>0</v>
      </c>
      <c r="L216" s="62">
        <f t="shared" si="299"/>
        <v>0</v>
      </c>
      <c r="M216" s="69">
        <f t="shared" si="271"/>
        <v>0</v>
      </c>
      <c r="P216" s="68">
        <f t="shared" si="256"/>
        <v>0</v>
      </c>
      <c r="Q216" s="62">
        <f t="shared" si="301"/>
        <v>0</v>
      </c>
      <c r="R216" s="69">
        <f t="shared" si="273"/>
        <v>0</v>
      </c>
      <c r="U216" s="68">
        <f t="shared" si="258"/>
        <v>0</v>
      </c>
      <c r="V216" s="62">
        <f t="shared" si="297"/>
        <v>0</v>
      </c>
      <c r="W216" s="69">
        <f t="shared" si="275"/>
        <v>0</v>
      </c>
      <c r="Y216" s="75">
        <f>$AD$212*B216/$G$212</f>
        <v>0</v>
      </c>
      <c r="Z216" s="68">
        <f t="shared" si="296"/>
        <v>0</v>
      </c>
      <c r="AA216" s="68">
        <f t="shared" si="298"/>
        <v>0</v>
      </c>
      <c r="AB216" s="69">
        <f t="shared" si="269"/>
        <v>0</v>
      </c>
      <c r="AD216" s="75">
        <f>$AD$212*G216/$G$212</f>
        <v>0</v>
      </c>
    </row>
    <row r="217" spans="1:34" ht="15" customHeight="1" outlineLevel="2" x14ac:dyDescent="0.25">
      <c r="B217" s="71">
        <v>3295</v>
      </c>
      <c r="C217" s="56" t="s">
        <v>53</v>
      </c>
      <c r="E217" s="73">
        <v>6555.41</v>
      </c>
      <c r="F217" s="74">
        <f t="shared" si="270"/>
        <v>8650.8593773053872</v>
      </c>
      <c r="G217" s="75">
        <v>15</v>
      </c>
      <c r="H217" s="56" t="s">
        <v>39</v>
      </c>
      <c r="I217" s="73">
        <f t="shared" si="253"/>
        <v>576.72395848702581</v>
      </c>
      <c r="K217" s="68">
        <f t="shared" si="254"/>
        <v>0</v>
      </c>
      <c r="L217" s="62">
        <f t="shared" si="299"/>
        <v>0</v>
      </c>
      <c r="M217" s="69">
        <f t="shared" si="271"/>
        <v>0</v>
      </c>
      <c r="P217" s="68">
        <f t="shared" si="256"/>
        <v>0</v>
      </c>
      <c r="Q217" s="62">
        <f t="shared" si="301"/>
        <v>0</v>
      </c>
      <c r="R217" s="69">
        <f t="shared" si="273"/>
        <v>0</v>
      </c>
      <c r="U217" s="68">
        <f t="shared" si="258"/>
        <v>0</v>
      </c>
      <c r="V217" s="62">
        <f t="shared" si="297"/>
        <v>0</v>
      </c>
      <c r="W217" s="69">
        <f t="shared" si="275"/>
        <v>0</v>
      </c>
      <c r="Y217" s="75">
        <f>$AD$212*B217/$G$212</f>
        <v>0</v>
      </c>
      <c r="Z217" s="68">
        <f t="shared" si="296"/>
        <v>0</v>
      </c>
      <c r="AA217" s="68">
        <f t="shared" si="298"/>
        <v>0</v>
      </c>
      <c r="AB217" s="69">
        <f t="shared" si="269"/>
        <v>0</v>
      </c>
      <c r="AD217" s="75">
        <f>$AD$212*G217/$G$212</f>
        <v>0</v>
      </c>
    </row>
    <row r="218" spans="1:34" ht="15" customHeight="1" outlineLevel="1" x14ac:dyDescent="0.25">
      <c r="A218" s="67"/>
      <c r="B218" s="66"/>
      <c r="C218" s="67" t="s">
        <v>185</v>
      </c>
      <c r="D218" s="68"/>
      <c r="E218" s="68">
        <v>5876.24</v>
      </c>
      <c r="F218" s="68">
        <f t="shared" si="270"/>
        <v>7754.5913844133329</v>
      </c>
      <c r="G218" s="69">
        <v>4</v>
      </c>
      <c r="H218" s="67" t="s">
        <v>39</v>
      </c>
      <c r="I218" s="68">
        <f t="shared" si="253"/>
        <v>1938.6478461033332</v>
      </c>
      <c r="J218" s="69"/>
      <c r="K218" s="68">
        <f t="shared" si="254"/>
        <v>0</v>
      </c>
      <c r="L218" s="62">
        <f t="shared" si="299"/>
        <v>3877.2956922066669</v>
      </c>
      <c r="M218" s="69">
        <f t="shared" si="271"/>
        <v>2</v>
      </c>
      <c r="N218" s="70">
        <f t="shared" ref="N218" si="318">100%-(L218/$F218)</f>
        <v>0.49999999999999989</v>
      </c>
      <c r="O218" s="69">
        <v>1</v>
      </c>
      <c r="P218" s="68">
        <f t="shared" si="256"/>
        <v>1938.6478461033332</v>
      </c>
      <c r="Q218" s="62">
        <f t="shared" si="301"/>
        <v>3877.2956922066669</v>
      </c>
      <c r="R218" s="69">
        <f t="shared" si="273"/>
        <v>2</v>
      </c>
      <c r="S218" s="70">
        <f t="shared" ref="S218" si="319">100%-(Q218/$F218)</f>
        <v>0.49999999999999989</v>
      </c>
      <c r="T218" s="69"/>
      <c r="U218" s="68">
        <f t="shared" si="258"/>
        <v>0</v>
      </c>
      <c r="V218" s="62">
        <f t="shared" si="297"/>
        <v>5815.9435383099999</v>
      </c>
      <c r="W218" s="69">
        <f t="shared" si="275"/>
        <v>3</v>
      </c>
      <c r="X218" s="70">
        <f t="shared" ref="X218" si="320">100%-(V218/$F218)</f>
        <v>0.25</v>
      </c>
      <c r="Y218" s="69">
        <v>1</v>
      </c>
      <c r="Z218" s="68">
        <f t="shared" si="296"/>
        <v>1938.6478461033332</v>
      </c>
      <c r="AA218" s="68">
        <f t="shared" si="298"/>
        <v>5815.9435383099999</v>
      </c>
      <c r="AB218" s="69">
        <f t="shared" si="269"/>
        <v>3</v>
      </c>
      <c r="AC218" s="70">
        <f t="shared" ref="AC218" si="321">100%-(AA218/$F218)</f>
        <v>0.25</v>
      </c>
      <c r="AD218" s="69"/>
      <c r="AE218" s="68">
        <f>AD218*I218</f>
        <v>0</v>
      </c>
      <c r="AF218" s="68">
        <f>F218-AE218</f>
        <v>7754.5913844133329</v>
      </c>
      <c r="AG218" s="69">
        <f>G218-AD218</f>
        <v>4</v>
      </c>
      <c r="AH218" s="70">
        <f t="shared" ref="AH218" si="322">100%-(AF218/$F218)</f>
        <v>0</v>
      </c>
    </row>
    <row r="219" spans="1:34" ht="15" customHeight="1" outlineLevel="2" x14ac:dyDescent="0.25">
      <c r="B219" s="71">
        <v>5110</v>
      </c>
      <c r="C219" s="56" t="s">
        <v>62</v>
      </c>
      <c r="E219" s="73">
        <v>3780.23</v>
      </c>
      <c r="F219" s="74">
        <f t="shared" si="270"/>
        <v>4988.5877685562218</v>
      </c>
      <c r="G219" s="75">
        <v>4</v>
      </c>
      <c r="H219" s="56" t="s">
        <v>39</v>
      </c>
      <c r="I219" s="73">
        <f t="shared" si="253"/>
        <v>1247.1469421390555</v>
      </c>
      <c r="K219" s="68">
        <f t="shared" si="254"/>
        <v>0</v>
      </c>
      <c r="L219" s="62">
        <f t="shared" si="299"/>
        <v>0</v>
      </c>
      <c r="M219" s="69">
        <f t="shared" si="271"/>
        <v>0</v>
      </c>
      <c r="P219" s="68">
        <f t="shared" si="256"/>
        <v>0</v>
      </c>
      <c r="Q219" s="62">
        <f t="shared" si="301"/>
        <v>0</v>
      </c>
      <c r="R219" s="69">
        <f t="shared" si="273"/>
        <v>0</v>
      </c>
      <c r="U219" s="68">
        <f t="shared" si="258"/>
        <v>0</v>
      </c>
      <c r="V219" s="62">
        <f t="shared" si="297"/>
        <v>0</v>
      </c>
      <c r="W219" s="69">
        <f t="shared" si="275"/>
        <v>0</v>
      </c>
      <c r="Y219" s="75">
        <f>$AD$218*B219/$G$218</f>
        <v>0</v>
      </c>
      <c r="Z219" s="68">
        <f t="shared" si="296"/>
        <v>0</v>
      </c>
      <c r="AA219" s="68">
        <f t="shared" si="298"/>
        <v>0</v>
      </c>
      <c r="AB219" s="69">
        <f t="shared" si="269"/>
        <v>0</v>
      </c>
      <c r="AD219" s="75">
        <f>$AD$218*G219/$G$218</f>
        <v>0</v>
      </c>
    </row>
    <row r="220" spans="1:34" ht="15" customHeight="1" outlineLevel="2" x14ac:dyDescent="0.25">
      <c r="B220" s="71">
        <v>2183</v>
      </c>
      <c r="C220" s="56" t="s">
        <v>80</v>
      </c>
      <c r="E220" s="73">
        <v>4.4400000000000004</v>
      </c>
      <c r="F220" s="74">
        <f t="shared" si="270"/>
        <v>5.8592545142463894</v>
      </c>
      <c r="G220" s="75">
        <v>0.4</v>
      </c>
      <c r="H220" s="56" t="s">
        <v>43</v>
      </c>
      <c r="I220" s="73">
        <f t="shared" si="253"/>
        <v>14.648136285615973</v>
      </c>
      <c r="K220" s="68">
        <f t="shared" si="254"/>
        <v>0</v>
      </c>
      <c r="L220" s="62">
        <f t="shared" si="299"/>
        <v>0</v>
      </c>
      <c r="M220" s="69">
        <f t="shared" si="271"/>
        <v>0</v>
      </c>
      <c r="P220" s="68">
        <f t="shared" si="256"/>
        <v>0</v>
      </c>
      <c r="Q220" s="62">
        <f t="shared" si="301"/>
        <v>0</v>
      </c>
      <c r="R220" s="69">
        <f t="shared" si="273"/>
        <v>0</v>
      </c>
      <c r="U220" s="68">
        <f t="shared" si="258"/>
        <v>0</v>
      </c>
      <c r="V220" s="62">
        <f t="shared" si="297"/>
        <v>0</v>
      </c>
      <c r="W220" s="69">
        <f t="shared" si="275"/>
        <v>0</v>
      </c>
      <c r="Y220" s="75">
        <f>$AD$218*B220/$G$218</f>
        <v>0</v>
      </c>
      <c r="Z220" s="68">
        <f t="shared" si="296"/>
        <v>0</v>
      </c>
      <c r="AA220" s="68">
        <f t="shared" si="298"/>
        <v>0</v>
      </c>
      <c r="AB220" s="69">
        <f t="shared" si="269"/>
        <v>0</v>
      </c>
      <c r="AD220" s="75">
        <f>$AD$218*G220/$G$218</f>
        <v>0</v>
      </c>
    </row>
    <row r="221" spans="1:34" ht="15" customHeight="1" outlineLevel="2" x14ac:dyDescent="0.25">
      <c r="B221" s="71">
        <v>2149</v>
      </c>
      <c r="C221" s="56" t="s">
        <v>48</v>
      </c>
      <c r="E221" s="73">
        <v>1.53</v>
      </c>
      <c r="F221" s="74">
        <f t="shared" si="270"/>
        <v>2.0190674339632828</v>
      </c>
      <c r="G221" s="75">
        <v>0.4</v>
      </c>
      <c r="H221" s="56" t="s">
        <v>43</v>
      </c>
      <c r="I221" s="73">
        <f t="shared" si="253"/>
        <v>5.047668584908207</v>
      </c>
      <c r="K221" s="68">
        <f t="shared" si="254"/>
        <v>0</v>
      </c>
      <c r="L221" s="62">
        <f t="shared" si="299"/>
        <v>0</v>
      </c>
      <c r="M221" s="69">
        <f t="shared" si="271"/>
        <v>0</v>
      </c>
      <c r="P221" s="68">
        <f t="shared" si="256"/>
        <v>0</v>
      </c>
      <c r="Q221" s="62">
        <f t="shared" si="301"/>
        <v>0</v>
      </c>
      <c r="R221" s="69">
        <f t="shared" si="273"/>
        <v>0</v>
      </c>
      <c r="U221" s="68">
        <f t="shared" si="258"/>
        <v>0</v>
      </c>
      <c r="V221" s="62">
        <f t="shared" si="297"/>
        <v>0</v>
      </c>
      <c r="W221" s="69">
        <f t="shared" si="275"/>
        <v>0</v>
      </c>
      <c r="Y221" s="75">
        <f>$AD$218*B221/$G$218</f>
        <v>0</v>
      </c>
      <c r="Z221" s="68">
        <f t="shared" si="296"/>
        <v>0</v>
      </c>
      <c r="AA221" s="68">
        <f t="shared" si="298"/>
        <v>0</v>
      </c>
      <c r="AB221" s="69">
        <f t="shared" si="269"/>
        <v>0</v>
      </c>
      <c r="AD221" s="75">
        <f>$AD$218*G221/$G$218</f>
        <v>0</v>
      </c>
    </row>
    <row r="222" spans="1:34" ht="15" customHeight="1" outlineLevel="2" x14ac:dyDescent="0.25">
      <c r="B222" s="71">
        <v>5105</v>
      </c>
      <c r="C222" s="56" t="s">
        <v>61</v>
      </c>
      <c r="E222" s="73">
        <v>341.94</v>
      </c>
      <c r="F222" s="74">
        <f t="shared" si="270"/>
        <v>451.24177671202932</v>
      </c>
      <c r="G222" s="75">
        <v>4</v>
      </c>
      <c r="H222" s="56" t="s">
        <v>39</v>
      </c>
      <c r="I222" s="73">
        <f t="shared" si="253"/>
        <v>112.81044417800733</v>
      </c>
      <c r="K222" s="68">
        <f t="shared" si="254"/>
        <v>0</v>
      </c>
      <c r="L222" s="62">
        <f t="shared" si="299"/>
        <v>0</v>
      </c>
      <c r="M222" s="69">
        <f t="shared" si="271"/>
        <v>0</v>
      </c>
      <c r="P222" s="68">
        <f t="shared" si="256"/>
        <v>0</v>
      </c>
      <c r="Q222" s="62">
        <f t="shared" si="301"/>
        <v>0</v>
      </c>
      <c r="R222" s="69">
        <f t="shared" si="273"/>
        <v>0</v>
      </c>
      <c r="U222" s="68">
        <f t="shared" si="258"/>
        <v>0</v>
      </c>
      <c r="V222" s="62">
        <f t="shared" si="297"/>
        <v>0</v>
      </c>
      <c r="W222" s="69">
        <f t="shared" si="275"/>
        <v>0</v>
      </c>
      <c r="Y222" s="75">
        <f>$AD$218*B222/$G$218</f>
        <v>0</v>
      </c>
      <c r="Z222" s="68">
        <f t="shared" si="296"/>
        <v>0</v>
      </c>
      <c r="AA222" s="68">
        <f t="shared" si="298"/>
        <v>0</v>
      </c>
      <c r="AB222" s="69">
        <f t="shared" si="269"/>
        <v>0</v>
      </c>
      <c r="AD222" s="75">
        <f>$AD$218*G222/$G$218</f>
        <v>0</v>
      </c>
    </row>
    <row r="223" spans="1:34" ht="15" customHeight="1" outlineLevel="2" x14ac:dyDescent="0.25">
      <c r="B223" s="71">
        <v>3295</v>
      </c>
      <c r="C223" s="56" t="s">
        <v>53</v>
      </c>
      <c r="E223" s="73">
        <v>1748.11</v>
      </c>
      <c r="F223" s="74">
        <f t="shared" si="270"/>
        <v>2306.8967137160485</v>
      </c>
      <c r="G223" s="75">
        <v>4</v>
      </c>
      <c r="H223" s="56" t="s">
        <v>39</v>
      </c>
      <c r="I223" s="73">
        <f t="shared" si="253"/>
        <v>576.72417842901211</v>
      </c>
      <c r="K223" s="68">
        <f t="shared" si="254"/>
        <v>0</v>
      </c>
      <c r="L223" s="62">
        <f t="shared" si="299"/>
        <v>0</v>
      </c>
      <c r="M223" s="69">
        <f t="shared" si="271"/>
        <v>0</v>
      </c>
      <c r="P223" s="68">
        <f t="shared" si="256"/>
        <v>0</v>
      </c>
      <c r="Q223" s="62">
        <f t="shared" si="301"/>
        <v>0</v>
      </c>
      <c r="R223" s="69">
        <f t="shared" si="273"/>
        <v>0</v>
      </c>
      <c r="U223" s="68">
        <f t="shared" si="258"/>
        <v>0</v>
      </c>
      <c r="V223" s="62">
        <f t="shared" si="297"/>
        <v>0</v>
      </c>
      <c r="W223" s="69">
        <f t="shared" si="275"/>
        <v>0</v>
      </c>
      <c r="Y223" s="75">
        <f>$AD$218*B223/$G$218</f>
        <v>0</v>
      </c>
      <c r="Z223" s="68">
        <f t="shared" si="296"/>
        <v>0</v>
      </c>
      <c r="AA223" s="68">
        <f t="shared" si="298"/>
        <v>0</v>
      </c>
      <c r="AB223" s="69">
        <f t="shared" si="269"/>
        <v>0</v>
      </c>
      <c r="AD223" s="75">
        <f>$AD$218*G223/$G$218</f>
        <v>0</v>
      </c>
    </row>
    <row r="224" spans="1:34" ht="15" customHeight="1" outlineLevel="1" x14ac:dyDescent="0.25">
      <c r="A224" s="67"/>
      <c r="B224" s="66"/>
      <c r="C224" s="67" t="s">
        <v>186</v>
      </c>
      <c r="D224" s="68"/>
      <c r="E224" s="68">
        <v>3721.32</v>
      </c>
      <c r="F224" s="68">
        <f t="shared" si="270"/>
        <v>4910.847074089048</v>
      </c>
      <c r="G224" s="69">
        <v>4</v>
      </c>
      <c r="H224" s="67" t="s">
        <v>39</v>
      </c>
      <c r="I224" s="68">
        <f t="shared" si="253"/>
        <v>1227.711768522262</v>
      </c>
      <c r="J224" s="69"/>
      <c r="K224" s="68">
        <f t="shared" si="254"/>
        <v>0</v>
      </c>
      <c r="L224" s="62">
        <f t="shared" si="299"/>
        <v>3683.135305566786</v>
      </c>
      <c r="M224" s="69">
        <f t="shared" si="271"/>
        <v>3</v>
      </c>
      <c r="N224" s="70">
        <f t="shared" ref="N224" si="323">100%-(L224/$F224)</f>
        <v>0.25</v>
      </c>
      <c r="O224" s="69">
        <v>1</v>
      </c>
      <c r="P224" s="68">
        <f t="shared" si="256"/>
        <v>1227.711768522262</v>
      </c>
      <c r="Q224" s="62">
        <f t="shared" si="301"/>
        <v>3683.135305566786</v>
      </c>
      <c r="R224" s="69">
        <f t="shared" si="273"/>
        <v>3</v>
      </c>
      <c r="S224" s="70">
        <f t="shared" ref="S224" si="324">100%-(Q224/$F224)</f>
        <v>0.25</v>
      </c>
      <c r="T224" s="69"/>
      <c r="U224" s="68">
        <f t="shared" si="258"/>
        <v>0</v>
      </c>
      <c r="V224" s="62">
        <f t="shared" si="297"/>
        <v>4910.847074089048</v>
      </c>
      <c r="W224" s="69">
        <f t="shared" si="275"/>
        <v>4</v>
      </c>
      <c r="X224" s="70">
        <f t="shared" ref="X224" si="325">100%-(V224/$F224)</f>
        <v>0</v>
      </c>
      <c r="Y224" s="69"/>
      <c r="Z224" s="68">
        <f t="shared" si="296"/>
        <v>0</v>
      </c>
      <c r="AA224" s="68">
        <f t="shared" si="298"/>
        <v>4910.847074089048</v>
      </c>
      <c r="AB224" s="69">
        <f t="shared" si="269"/>
        <v>4</v>
      </c>
      <c r="AC224" s="70">
        <f t="shared" ref="AC224" si="326">100%-(AA224/$F224)</f>
        <v>0</v>
      </c>
      <c r="AD224" s="69"/>
      <c r="AE224" s="68">
        <f>AD224*I224</f>
        <v>0</v>
      </c>
      <c r="AF224" s="68">
        <f>F224-AE224</f>
        <v>4910.847074089048</v>
      </c>
      <c r="AG224" s="69">
        <f>G224-AD224</f>
        <v>4</v>
      </c>
      <c r="AH224" s="70">
        <f t="shared" ref="AH224" si="327">100%-(AF224/$F224)</f>
        <v>0</v>
      </c>
    </row>
    <row r="225" spans="1:34" ht="15" customHeight="1" outlineLevel="2" x14ac:dyDescent="0.25">
      <c r="B225" s="71">
        <v>5410</v>
      </c>
      <c r="C225" s="56" t="s">
        <v>183</v>
      </c>
      <c r="E225" s="73">
        <v>1834.91</v>
      </c>
      <c r="F225" s="74">
        <f t="shared" si="270"/>
        <v>2421.4425001657301</v>
      </c>
      <c r="G225" s="75">
        <v>4</v>
      </c>
      <c r="H225" s="56" t="s">
        <v>39</v>
      </c>
      <c r="I225" s="73">
        <f t="shared" si="253"/>
        <v>605.36062504143251</v>
      </c>
      <c r="K225" s="68">
        <f t="shared" si="254"/>
        <v>0</v>
      </c>
      <c r="L225" s="62">
        <f t="shared" si="299"/>
        <v>0</v>
      </c>
      <c r="M225" s="69">
        <f t="shared" si="271"/>
        <v>0</v>
      </c>
      <c r="P225" s="68">
        <f t="shared" si="256"/>
        <v>0</v>
      </c>
      <c r="Q225" s="62">
        <f t="shared" si="301"/>
        <v>0</v>
      </c>
      <c r="R225" s="69">
        <f t="shared" si="273"/>
        <v>0</v>
      </c>
      <c r="T225" s="75">
        <f>$T$224*G225/$G$224</f>
        <v>0</v>
      </c>
      <c r="U225" s="68">
        <f t="shared" si="258"/>
        <v>0</v>
      </c>
      <c r="V225" s="62">
        <f t="shared" si="297"/>
        <v>0</v>
      </c>
      <c r="W225" s="69">
        <f t="shared" si="275"/>
        <v>0</v>
      </c>
      <c r="Y225" s="75">
        <f>$AD$224*B225/$G$224</f>
        <v>0</v>
      </c>
      <c r="Z225" s="68">
        <f t="shared" si="296"/>
        <v>0</v>
      </c>
      <c r="AA225" s="68">
        <f t="shared" si="298"/>
        <v>0</v>
      </c>
      <c r="AB225" s="69">
        <f t="shared" si="269"/>
        <v>0</v>
      </c>
      <c r="AD225" s="75">
        <f>$AD$224*G225/$G$224</f>
        <v>0</v>
      </c>
    </row>
    <row r="226" spans="1:34" ht="15" customHeight="1" outlineLevel="2" x14ac:dyDescent="0.25">
      <c r="B226" s="71">
        <v>2185</v>
      </c>
      <c r="C226" s="56" t="s">
        <v>51</v>
      </c>
      <c r="E226" s="73">
        <v>7.9</v>
      </c>
      <c r="F226" s="74">
        <f t="shared" si="270"/>
        <v>10.42525014922218</v>
      </c>
      <c r="G226" s="75">
        <v>0.4</v>
      </c>
      <c r="H226" s="56" t="s">
        <v>43</v>
      </c>
      <c r="I226" s="73">
        <f t="shared" ref="I226:I289" si="328">F226/G226</f>
        <v>26.063125373055449</v>
      </c>
      <c r="K226" s="68">
        <f t="shared" ref="K226:K230" si="329">+J226*$I226</f>
        <v>0</v>
      </c>
      <c r="L226" s="62">
        <f t="shared" si="299"/>
        <v>0</v>
      </c>
      <c r="M226" s="69">
        <f t="shared" si="271"/>
        <v>0</v>
      </c>
      <c r="P226" s="68">
        <f t="shared" ref="P226:P230" si="330">+O226*$I226</f>
        <v>0</v>
      </c>
      <c r="Q226" s="62">
        <f t="shared" si="301"/>
        <v>0</v>
      </c>
      <c r="R226" s="69">
        <f t="shared" si="273"/>
        <v>0</v>
      </c>
      <c r="T226" s="75">
        <f t="shared" ref="T226:T229" si="331">$T$224*G226/$G$224</f>
        <v>0</v>
      </c>
      <c r="U226" s="68">
        <f t="shared" ref="U226:U230" si="332">+T226*$I226</f>
        <v>0</v>
      </c>
      <c r="V226" s="62">
        <f t="shared" si="297"/>
        <v>0</v>
      </c>
      <c r="W226" s="69">
        <f t="shared" si="275"/>
        <v>0</v>
      </c>
      <c r="Y226" s="75">
        <f>$AD$224*B226/$G$224</f>
        <v>0</v>
      </c>
      <c r="Z226" s="68">
        <f t="shared" ref="Z226:Z230" si="333">+Y226*I226</f>
        <v>0</v>
      </c>
      <c r="AA226" s="68">
        <f t="shared" si="298"/>
        <v>0</v>
      </c>
      <c r="AB226" s="69">
        <f t="shared" si="269"/>
        <v>0</v>
      </c>
      <c r="AD226" s="75">
        <f>$AD$224*G226/$G$224</f>
        <v>0</v>
      </c>
    </row>
    <row r="227" spans="1:34" ht="15" customHeight="1" outlineLevel="2" x14ac:dyDescent="0.25">
      <c r="B227" s="71">
        <v>2149</v>
      </c>
      <c r="C227" s="56" t="s">
        <v>48</v>
      </c>
      <c r="E227" s="73">
        <v>3.39</v>
      </c>
      <c r="F227" s="74">
        <f t="shared" si="270"/>
        <v>4.4736200007421756</v>
      </c>
      <c r="G227" s="75">
        <v>0.4</v>
      </c>
      <c r="H227" s="56" t="s">
        <v>43</v>
      </c>
      <c r="I227" s="73">
        <f t="shared" si="328"/>
        <v>11.184050001855438</v>
      </c>
      <c r="K227" s="68">
        <f t="shared" si="329"/>
        <v>0</v>
      </c>
      <c r="L227" s="62">
        <f t="shared" si="299"/>
        <v>0</v>
      </c>
      <c r="M227" s="69">
        <f t="shared" si="271"/>
        <v>0</v>
      </c>
      <c r="P227" s="68">
        <f t="shared" si="330"/>
        <v>0</v>
      </c>
      <c r="Q227" s="62">
        <f t="shared" si="301"/>
        <v>0</v>
      </c>
      <c r="R227" s="69">
        <f t="shared" si="273"/>
        <v>0</v>
      </c>
      <c r="T227" s="75">
        <f t="shared" si="331"/>
        <v>0</v>
      </c>
      <c r="U227" s="68">
        <f t="shared" si="332"/>
        <v>0</v>
      </c>
      <c r="V227" s="62">
        <f t="shared" si="297"/>
        <v>0</v>
      </c>
      <c r="W227" s="69">
        <f t="shared" si="275"/>
        <v>0</v>
      </c>
      <c r="Y227" s="75">
        <f>$AD$224*B227/$G$224</f>
        <v>0</v>
      </c>
      <c r="Z227" s="68">
        <f t="shared" si="333"/>
        <v>0</v>
      </c>
      <c r="AA227" s="68">
        <f t="shared" si="298"/>
        <v>0</v>
      </c>
      <c r="AB227" s="69">
        <f t="shared" si="269"/>
        <v>0</v>
      </c>
      <c r="AD227" s="75">
        <f>$AD$224*G227/$G$224</f>
        <v>0</v>
      </c>
    </row>
    <row r="228" spans="1:34" ht="15" customHeight="1" outlineLevel="2" x14ac:dyDescent="0.25">
      <c r="B228" s="71">
        <v>6480</v>
      </c>
      <c r="C228" s="56" t="s">
        <v>96</v>
      </c>
      <c r="E228" s="73">
        <v>275.12</v>
      </c>
      <c r="F228" s="74">
        <f t="shared" si="270"/>
        <v>363.06263557645644</v>
      </c>
      <c r="G228" s="75">
        <v>1</v>
      </c>
      <c r="H228" s="56" t="s">
        <v>34</v>
      </c>
      <c r="I228" s="73">
        <f t="shared" si="328"/>
        <v>363.06263557645644</v>
      </c>
      <c r="K228" s="68">
        <f t="shared" si="329"/>
        <v>0</v>
      </c>
      <c r="L228" s="62">
        <f t="shared" si="299"/>
        <v>0</v>
      </c>
      <c r="M228" s="69">
        <f t="shared" si="271"/>
        <v>0</v>
      </c>
      <c r="P228" s="68">
        <f t="shared" si="330"/>
        <v>0</v>
      </c>
      <c r="Q228" s="62">
        <f t="shared" si="301"/>
        <v>0</v>
      </c>
      <c r="R228" s="69">
        <f t="shared" si="273"/>
        <v>0</v>
      </c>
      <c r="T228" s="75">
        <f t="shared" si="331"/>
        <v>0</v>
      </c>
      <c r="U228" s="68">
        <f t="shared" si="332"/>
        <v>0</v>
      </c>
      <c r="V228" s="62">
        <f t="shared" si="297"/>
        <v>0</v>
      </c>
      <c r="W228" s="69">
        <f t="shared" si="275"/>
        <v>0</v>
      </c>
      <c r="Y228" s="75">
        <f>$AD$224*B228/$G$224</f>
        <v>0</v>
      </c>
      <c r="Z228" s="68">
        <f t="shared" si="333"/>
        <v>0</v>
      </c>
      <c r="AA228" s="68">
        <f t="shared" si="298"/>
        <v>0</v>
      </c>
      <c r="AB228" s="69">
        <f t="shared" si="269"/>
        <v>0</v>
      </c>
      <c r="AD228" s="75">
        <f>$AD$224*G228/$G$224</f>
        <v>0</v>
      </c>
    </row>
    <row r="229" spans="1:34" ht="15" customHeight="1" outlineLevel="2" x14ac:dyDescent="0.25">
      <c r="B229" s="71">
        <v>3290</v>
      </c>
      <c r="C229" s="56" t="s">
        <v>52</v>
      </c>
      <c r="E229" s="73">
        <v>1600</v>
      </c>
      <c r="F229" s="74">
        <f t="shared" si="270"/>
        <v>2111.443068196897</v>
      </c>
      <c r="G229" s="75">
        <v>4</v>
      </c>
      <c r="H229" s="56" t="s">
        <v>39</v>
      </c>
      <c r="I229" s="73">
        <f t="shared" si="328"/>
        <v>527.86076704922425</v>
      </c>
      <c r="K229" s="68">
        <f t="shared" si="329"/>
        <v>0</v>
      </c>
      <c r="L229" s="62">
        <f t="shared" si="299"/>
        <v>0</v>
      </c>
      <c r="M229" s="69">
        <f t="shared" si="271"/>
        <v>0</v>
      </c>
      <c r="P229" s="68">
        <f t="shared" si="330"/>
        <v>0</v>
      </c>
      <c r="Q229" s="62">
        <f t="shared" si="301"/>
        <v>0</v>
      </c>
      <c r="R229" s="69">
        <f t="shared" si="273"/>
        <v>0</v>
      </c>
      <c r="T229" s="75">
        <f t="shared" si="331"/>
        <v>0</v>
      </c>
      <c r="U229" s="68">
        <f t="shared" si="332"/>
        <v>0</v>
      </c>
      <c r="V229" s="62">
        <f t="shared" si="297"/>
        <v>0</v>
      </c>
      <c r="W229" s="69">
        <f t="shared" si="275"/>
        <v>0</v>
      </c>
      <c r="Y229" s="75">
        <f>$AD$224*B229/$G$224</f>
        <v>0</v>
      </c>
      <c r="Z229" s="68">
        <f t="shared" si="333"/>
        <v>0</v>
      </c>
      <c r="AA229" s="68">
        <f t="shared" si="298"/>
        <v>0</v>
      </c>
      <c r="AB229" s="69">
        <f t="shared" si="269"/>
        <v>0</v>
      </c>
      <c r="AD229" s="75">
        <f>$AD$224*G229/$G$224</f>
        <v>0</v>
      </c>
    </row>
    <row r="230" spans="1:34" ht="15" customHeight="1" outlineLevel="1" x14ac:dyDescent="0.25">
      <c r="A230" s="67"/>
      <c r="B230" s="66"/>
      <c r="C230" s="67" t="s">
        <v>187</v>
      </c>
      <c r="D230" s="68"/>
      <c r="E230" s="68">
        <v>5294.88</v>
      </c>
      <c r="F230" s="68">
        <f t="shared" si="270"/>
        <v>6987.3985455839911</v>
      </c>
      <c r="G230" s="69">
        <v>34</v>
      </c>
      <c r="H230" s="67" t="s">
        <v>39</v>
      </c>
      <c r="I230" s="68">
        <f t="shared" si="328"/>
        <v>205.51172192894091</v>
      </c>
      <c r="J230" s="69"/>
      <c r="K230" s="68">
        <f t="shared" si="329"/>
        <v>0</v>
      </c>
      <c r="L230" s="62">
        <f t="shared" si="299"/>
        <v>3904.7227166498774</v>
      </c>
      <c r="M230" s="69">
        <f t="shared" si="271"/>
        <v>19</v>
      </c>
      <c r="N230" s="70">
        <f t="shared" ref="N230" si="334">100%-(L230/$F230)</f>
        <v>0.44117647058823528</v>
      </c>
      <c r="O230" s="69">
        <v>15</v>
      </c>
      <c r="P230" s="68">
        <f t="shared" si="330"/>
        <v>3082.6758289341137</v>
      </c>
      <c r="Q230" s="62">
        <f t="shared" si="301"/>
        <v>3904.7227166498774</v>
      </c>
      <c r="R230" s="69">
        <f t="shared" si="273"/>
        <v>19</v>
      </c>
      <c r="S230" s="70">
        <f t="shared" ref="S230" si="335">100%-(Q230/$F230)</f>
        <v>0.44117647058823528</v>
      </c>
      <c r="T230" s="69">
        <v>0</v>
      </c>
      <c r="U230" s="68">
        <f t="shared" si="332"/>
        <v>0</v>
      </c>
      <c r="V230" s="62">
        <f t="shared" si="297"/>
        <v>6987.3985455839911</v>
      </c>
      <c r="W230" s="69">
        <f t="shared" si="275"/>
        <v>34</v>
      </c>
      <c r="X230" s="70">
        <f t="shared" ref="X230" si="336">100%-(V230/$F230)</f>
        <v>0</v>
      </c>
      <c r="Y230" s="69"/>
      <c r="Z230" s="68">
        <f t="shared" si="333"/>
        <v>0</v>
      </c>
      <c r="AA230" s="68">
        <f t="shared" si="298"/>
        <v>6987.3985455839911</v>
      </c>
      <c r="AB230" s="69">
        <f t="shared" si="269"/>
        <v>34</v>
      </c>
      <c r="AC230" s="70">
        <f t="shared" ref="AC230" si="337">100%-(AA230/$F230)</f>
        <v>0</v>
      </c>
      <c r="AD230" s="69"/>
      <c r="AE230" s="68">
        <f>AD230*I230</f>
        <v>0</v>
      </c>
      <c r="AF230" s="68">
        <f>F230-AE230</f>
        <v>6987.3985455839911</v>
      </c>
      <c r="AG230" s="69">
        <f>G230-AD230</f>
        <v>34</v>
      </c>
      <c r="AH230" s="70">
        <f t="shared" ref="AH230" si="338">100%-(AF230/$F230)</f>
        <v>0</v>
      </c>
    </row>
    <row r="231" spans="1:34" ht="15" customHeight="1" outlineLevel="2" x14ac:dyDescent="0.25">
      <c r="B231" s="71">
        <v>5410</v>
      </c>
      <c r="C231" s="56" t="s">
        <v>183</v>
      </c>
      <c r="E231" s="73">
        <v>5198.91</v>
      </c>
      <c r="F231" s="74">
        <f t="shared" si="270"/>
        <v>6860.751551049706</v>
      </c>
      <c r="G231" s="75">
        <v>34</v>
      </c>
      <c r="H231" s="56" t="s">
        <v>39</v>
      </c>
      <c r="I231" s="73">
        <f t="shared" si="328"/>
        <v>201.78681032499136</v>
      </c>
      <c r="L231" s="62">
        <f t="shared" si="299"/>
        <v>0</v>
      </c>
      <c r="M231" s="69">
        <f t="shared" si="271"/>
        <v>0</v>
      </c>
      <c r="Q231" s="62">
        <f t="shared" si="301"/>
        <v>0</v>
      </c>
      <c r="R231" s="69">
        <f t="shared" si="273"/>
        <v>0</v>
      </c>
      <c r="T231" s="75">
        <f>$AD$230*G231/$G$230</f>
        <v>0</v>
      </c>
      <c r="V231" s="62">
        <f t="shared" si="297"/>
        <v>0</v>
      </c>
      <c r="W231" s="69">
        <f t="shared" si="275"/>
        <v>0</v>
      </c>
      <c r="Y231" s="75">
        <f>$AD$230*B231/$G$230</f>
        <v>0</v>
      </c>
      <c r="AA231" s="68">
        <f t="shared" si="298"/>
        <v>0</v>
      </c>
      <c r="AB231" s="69">
        <f t="shared" si="269"/>
        <v>0</v>
      </c>
      <c r="AD231" s="75">
        <f>$AD$230*G231/$G$230</f>
        <v>0</v>
      </c>
    </row>
    <row r="232" spans="1:34" ht="15" customHeight="1" outlineLevel="2" x14ac:dyDescent="0.25">
      <c r="B232" s="71">
        <v>2185</v>
      </c>
      <c r="C232" s="56" t="s">
        <v>51</v>
      </c>
      <c r="E232" s="73">
        <v>67.150000000000006</v>
      </c>
      <c r="F232" s="74">
        <f t="shared" si="270"/>
        <v>88.61462626838852</v>
      </c>
      <c r="G232" s="75">
        <v>3.4</v>
      </c>
      <c r="H232" s="56" t="s">
        <v>43</v>
      </c>
      <c r="I232" s="73">
        <f t="shared" si="328"/>
        <v>26.063125373055449</v>
      </c>
      <c r="L232" s="62">
        <f t="shared" si="299"/>
        <v>0</v>
      </c>
      <c r="M232" s="69">
        <f t="shared" si="271"/>
        <v>0</v>
      </c>
      <c r="Q232" s="62">
        <f t="shared" si="301"/>
        <v>0</v>
      </c>
      <c r="R232" s="69">
        <f t="shared" si="273"/>
        <v>0</v>
      </c>
      <c r="T232" s="75">
        <f t="shared" ref="T232:T233" si="339">$AD$230*G232/$G$230</f>
        <v>0</v>
      </c>
      <c r="V232" s="62">
        <f t="shared" si="297"/>
        <v>0</v>
      </c>
      <c r="W232" s="69">
        <f t="shared" si="275"/>
        <v>0</v>
      </c>
      <c r="Y232" s="75">
        <f>$AD$230*B232/$G$230</f>
        <v>0</v>
      </c>
      <c r="AA232" s="68">
        <f t="shared" si="298"/>
        <v>0</v>
      </c>
      <c r="AB232" s="69">
        <f t="shared" si="269"/>
        <v>0</v>
      </c>
      <c r="AD232" s="75">
        <f>$AD$230*G232/$G$230</f>
        <v>0</v>
      </c>
    </row>
    <row r="233" spans="1:34" ht="15" customHeight="1" outlineLevel="2" x14ac:dyDescent="0.25">
      <c r="B233" s="71">
        <v>2149</v>
      </c>
      <c r="C233" s="56" t="s">
        <v>48</v>
      </c>
      <c r="E233" s="73">
        <v>28.83</v>
      </c>
      <c r="F233" s="74">
        <f t="shared" si="270"/>
        <v>38.045564785072834</v>
      </c>
      <c r="G233" s="75">
        <v>3.4</v>
      </c>
      <c r="H233" s="56" t="s">
        <v>43</v>
      </c>
      <c r="I233" s="73">
        <f t="shared" si="328"/>
        <v>11.189871995609657</v>
      </c>
      <c r="L233" s="62">
        <f t="shared" si="299"/>
        <v>0</v>
      </c>
      <c r="M233" s="69">
        <f t="shared" si="271"/>
        <v>0</v>
      </c>
      <c r="Q233" s="62">
        <f t="shared" si="301"/>
        <v>0</v>
      </c>
      <c r="R233" s="69">
        <f t="shared" si="273"/>
        <v>0</v>
      </c>
      <c r="T233" s="75">
        <f t="shared" si="339"/>
        <v>0</v>
      </c>
      <c r="V233" s="62">
        <f t="shared" si="297"/>
        <v>0</v>
      </c>
      <c r="W233" s="69">
        <f t="shared" si="275"/>
        <v>0</v>
      </c>
      <c r="Y233" s="75">
        <f>$AD$230*B233/$G$230</f>
        <v>0</v>
      </c>
      <c r="AA233" s="68">
        <f t="shared" si="298"/>
        <v>0</v>
      </c>
      <c r="AB233" s="69">
        <f t="shared" si="269"/>
        <v>0</v>
      </c>
      <c r="AD233" s="75">
        <f>$AD$230*G233/$G$230</f>
        <v>0</v>
      </c>
    </row>
    <row r="234" spans="1:34" ht="15" customHeight="1" outlineLevel="1" x14ac:dyDescent="0.25">
      <c r="A234" s="79"/>
      <c r="B234" s="80"/>
      <c r="C234" s="79" t="s">
        <v>188</v>
      </c>
      <c r="D234" s="81"/>
      <c r="E234" s="81">
        <v>105902.44</v>
      </c>
      <c r="F234" s="81">
        <f t="shared" si="270"/>
        <v>139754.35802696113</v>
      </c>
      <c r="G234" s="82"/>
      <c r="H234" s="79"/>
      <c r="I234" s="81"/>
      <c r="J234" s="82"/>
      <c r="K234" s="81">
        <f>SUM(K235,K237,K240,K253,K244,K264,K275,K286,K290,K294,K300,K297,K303,K306,K309)</f>
        <v>0</v>
      </c>
      <c r="L234" s="62">
        <f t="shared" si="299"/>
        <v>139754.34483044196</v>
      </c>
      <c r="M234" s="69">
        <f t="shared" si="271"/>
        <v>0</v>
      </c>
      <c r="N234" s="83"/>
      <c r="O234" s="82"/>
      <c r="P234" s="81">
        <f>SUM(P235,P237,P240,P253,P244,P264,P275,P286,P290,P294,P300,P297,P303,P306,P309)</f>
        <v>0</v>
      </c>
      <c r="Q234" s="62">
        <f t="shared" si="301"/>
        <v>139754.34483044196</v>
      </c>
      <c r="R234" s="69">
        <f t="shared" si="273"/>
        <v>0</v>
      </c>
      <c r="S234" s="83"/>
      <c r="T234" s="82"/>
      <c r="U234" s="81">
        <f>SUM(U235,U237,U240,U253,U244,U264,U275,U286,U290,U294,U300,U297,U303,U306,U309)</f>
        <v>0</v>
      </c>
      <c r="V234" s="62">
        <f t="shared" si="297"/>
        <v>139754.34483044196</v>
      </c>
      <c r="W234" s="69">
        <f t="shared" si="275"/>
        <v>0</v>
      </c>
      <c r="X234" s="83"/>
      <c r="Y234" s="82"/>
      <c r="Z234" s="81">
        <f>SUM(Z235,Z237,Z240,Z253,Z244,Z264,Z275,Z286,Z290,Z294,Z300,Z297,Z303,Z306,Z309)</f>
        <v>0</v>
      </c>
      <c r="AA234" s="68">
        <f t="shared" si="298"/>
        <v>139754.34483044196</v>
      </c>
      <c r="AB234" s="69">
        <f t="shared" si="269"/>
        <v>0</v>
      </c>
      <c r="AC234" s="83"/>
      <c r="AD234" s="82"/>
      <c r="AE234" s="81">
        <f>SUM(AE235,AE237,AE240,AE253,AE244,AE264,AE275,AE286,AE290,AE294,AE300,AE297,AE303,AE306,AE309)</f>
        <v>0</v>
      </c>
      <c r="AF234" s="81">
        <f>SUM(AF235,AF237,AF240,AF253,AF244,AF264,AF275,AF286,AF290,AF294,AF300,AF297,AF303,AF306,AF309)</f>
        <v>139754.34483044196</v>
      </c>
      <c r="AG234" s="82"/>
      <c r="AH234" s="83"/>
    </row>
    <row r="235" spans="1:34" ht="15" customHeight="1" outlineLevel="1" x14ac:dyDescent="0.25">
      <c r="A235" s="67"/>
      <c r="B235" s="66"/>
      <c r="C235" s="67" t="s">
        <v>189</v>
      </c>
      <c r="D235" s="68"/>
      <c r="E235" s="68">
        <v>3936.54</v>
      </c>
      <c r="F235" s="68">
        <f t="shared" si="270"/>
        <v>5194.8625597998825</v>
      </c>
      <c r="G235" s="69">
        <v>2</v>
      </c>
      <c r="H235" s="67" t="s">
        <v>39</v>
      </c>
      <c r="I235" s="68">
        <f t="shared" si="328"/>
        <v>2597.4312798999413</v>
      </c>
      <c r="J235" s="69"/>
      <c r="K235" s="68">
        <f t="shared" ref="K235:K298" si="340">+J235*$I235</f>
        <v>0</v>
      </c>
      <c r="L235" s="62">
        <f t="shared" si="299"/>
        <v>5194.8625597998825</v>
      </c>
      <c r="M235" s="69">
        <f t="shared" si="271"/>
        <v>2</v>
      </c>
      <c r="N235" s="70">
        <f t="shared" ref="N235" si="341">100%-(L235/$F235)</f>
        <v>0</v>
      </c>
      <c r="O235" s="69"/>
      <c r="P235" s="68">
        <f t="shared" ref="P235:P298" si="342">+O235*$I235</f>
        <v>0</v>
      </c>
      <c r="Q235" s="62">
        <f t="shared" si="301"/>
        <v>5194.8625597998825</v>
      </c>
      <c r="R235" s="69">
        <f t="shared" si="273"/>
        <v>2</v>
      </c>
      <c r="S235" s="70">
        <f t="shared" ref="S235" si="343">100%-(Q235/$F235)</f>
        <v>0</v>
      </c>
      <c r="T235" s="69"/>
      <c r="U235" s="68">
        <f t="shared" ref="U235:U298" si="344">+T235*$I235</f>
        <v>0</v>
      </c>
      <c r="V235" s="62">
        <f t="shared" si="297"/>
        <v>5194.8625597998825</v>
      </c>
      <c r="W235" s="69">
        <f t="shared" si="275"/>
        <v>2</v>
      </c>
      <c r="X235" s="70">
        <f t="shared" ref="X235" si="345">100%-(V235/$F235)</f>
        <v>0</v>
      </c>
      <c r="Y235" s="69"/>
      <c r="Z235" s="68">
        <f>Y235*D235</f>
        <v>0</v>
      </c>
      <c r="AA235" s="68">
        <f t="shared" si="298"/>
        <v>5194.8625597998825</v>
      </c>
      <c r="AB235" s="69">
        <f t="shared" si="269"/>
        <v>2</v>
      </c>
      <c r="AC235" s="70">
        <f t="shared" ref="AC235" si="346">100%-(AA235/$F235)</f>
        <v>0</v>
      </c>
      <c r="AD235" s="69"/>
      <c r="AE235" s="68">
        <f>AD235*I235</f>
        <v>0</v>
      </c>
      <c r="AF235" s="68">
        <f>F235-AE235</f>
        <v>5194.8625597998825</v>
      </c>
      <c r="AG235" s="69">
        <f>G235-AD235</f>
        <v>2</v>
      </c>
      <c r="AH235" s="70">
        <f t="shared" ref="AH235" si="347">100%-(AF235/$F235)</f>
        <v>0</v>
      </c>
    </row>
    <row r="236" spans="1:34" ht="15" customHeight="1" outlineLevel="2" x14ac:dyDescent="0.25">
      <c r="B236" s="71">
        <v>6460</v>
      </c>
      <c r="C236" s="56" t="s">
        <v>68</v>
      </c>
      <c r="E236" s="73">
        <v>3936.54</v>
      </c>
      <c r="F236" s="74">
        <f t="shared" si="270"/>
        <v>5194.8625597998825</v>
      </c>
      <c r="G236" s="75">
        <v>2</v>
      </c>
      <c r="H236" s="56" t="s">
        <v>39</v>
      </c>
      <c r="I236" s="73">
        <f t="shared" si="328"/>
        <v>2597.4312798999413</v>
      </c>
      <c r="K236" s="68">
        <f t="shared" si="340"/>
        <v>0</v>
      </c>
      <c r="L236" s="62">
        <f t="shared" si="299"/>
        <v>0</v>
      </c>
      <c r="M236" s="69">
        <f t="shared" si="271"/>
        <v>0</v>
      </c>
      <c r="P236" s="68">
        <f t="shared" si="342"/>
        <v>0</v>
      </c>
      <c r="Q236" s="62">
        <f t="shared" si="301"/>
        <v>0</v>
      </c>
      <c r="R236" s="69">
        <f t="shared" si="273"/>
        <v>0</v>
      </c>
      <c r="U236" s="68">
        <f t="shared" si="344"/>
        <v>0</v>
      </c>
      <c r="V236" s="62">
        <f t="shared" si="297"/>
        <v>0</v>
      </c>
      <c r="W236" s="69">
        <f t="shared" si="275"/>
        <v>0</v>
      </c>
      <c r="Y236" s="75">
        <f>$AD$235*B236/$G$235</f>
        <v>0</v>
      </c>
      <c r="AA236" s="68">
        <f t="shared" si="298"/>
        <v>0</v>
      </c>
      <c r="AB236" s="69">
        <f t="shared" si="269"/>
        <v>0</v>
      </c>
      <c r="AD236" s="75">
        <f>$AD$235*G236/$G$235</f>
        <v>0</v>
      </c>
    </row>
    <row r="237" spans="1:34" ht="15" customHeight="1" outlineLevel="1" x14ac:dyDescent="0.25">
      <c r="A237" s="67"/>
      <c r="B237" s="66"/>
      <c r="C237" s="67" t="s">
        <v>190</v>
      </c>
      <c r="D237" s="68"/>
      <c r="E237" s="68">
        <v>2768.27</v>
      </c>
      <c r="F237" s="68">
        <f t="shared" si="270"/>
        <v>3653.1528139983898</v>
      </c>
      <c r="G237" s="69">
        <v>2</v>
      </c>
      <c r="H237" s="67" t="s">
        <v>39</v>
      </c>
      <c r="I237" s="68">
        <f t="shared" si="328"/>
        <v>1826.5764069991949</v>
      </c>
      <c r="J237" s="69"/>
      <c r="K237" s="68">
        <f t="shared" si="340"/>
        <v>0</v>
      </c>
      <c r="L237" s="62">
        <f t="shared" si="299"/>
        <v>3653.1528139983898</v>
      </c>
      <c r="M237" s="69">
        <f t="shared" si="271"/>
        <v>2</v>
      </c>
      <c r="N237" s="70">
        <f t="shared" ref="N237" si="348">100%-(L237/$F237)</f>
        <v>0</v>
      </c>
      <c r="O237" s="69"/>
      <c r="P237" s="68">
        <f t="shared" si="342"/>
        <v>0</v>
      </c>
      <c r="Q237" s="62">
        <f t="shared" si="301"/>
        <v>3653.1528139983898</v>
      </c>
      <c r="R237" s="69">
        <f t="shared" si="273"/>
        <v>2</v>
      </c>
      <c r="S237" s="70">
        <f t="shared" ref="S237" si="349">100%-(Q237/$F237)</f>
        <v>0</v>
      </c>
      <c r="T237" s="69"/>
      <c r="U237" s="68">
        <f t="shared" si="344"/>
        <v>0</v>
      </c>
      <c r="V237" s="62">
        <f t="shared" si="297"/>
        <v>3653.1528139983898</v>
      </c>
      <c r="W237" s="69">
        <f t="shared" si="275"/>
        <v>2</v>
      </c>
      <c r="X237" s="70">
        <f t="shared" ref="X237" si="350">100%-(V237/$F237)</f>
        <v>0</v>
      </c>
      <c r="Y237" s="69"/>
      <c r="Z237" s="68">
        <f>Y237*D237</f>
        <v>0</v>
      </c>
      <c r="AA237" s="68">
        <f t="shared" si="298"/>
        <v>3653.1528139983898</v>
      </c>
      <c r="AB237" s="69">
        <f t="shared" ref="AB237:AB300" si="351">+AG237-Y237</f>
        <v>2</v>
      </c>
      <c r="AC237" s="70">
        <f t="shared" ref="AC237" si="352">100%-(AA237/$F237)</f>
        <v>0</v>
      </c>
      <c r="AD237" s="69"/>
      <c r="AE237" s="68">
        <f>AD237*I237</f>
        <v>0</v>
      </c>
      <c r="AF237" s="68">
        <f>F237-AE237</f>
        <v>3653.1528139983898</v>
      </c>
      <c r="AG237" s="69">
        <f>G237-AD237</f>
        <v>2</v>
      </c>
      <c r="AH237" s="70">
        <f t="shared" ref="AH237" si="353">100%-(AF237/$F237)</f>
        <v>0</v>
      </c>
    </row>
    <row r="238" spans="1:34" ht="15" customHeight="1" outlineLevel="2" x14ac:dyDescent="0.25">
      <c r="B238" s="71">
        <v>6460</v>
      </c>
      <c r="C238" s="56" t="s">
        <v>68</v>
      </c>
      <c r="E238" s="73">
        <v>1968.27</v>
      </c>
      <c r="F238" s="74">
        <f t="shared" ref="F238:F301" si="354">$D$107/$E$107*E238</f>
        <v>2597.4312798999413</v>
      </c>
      <c r="G238" s="75">
        <v>2</v>
      </c>
      <c r="H238" s="56" t="s">
        <v>39</v>
      </c>
      <c r="I238" s="73">
        <f t="shared" si="328"/>
        <v>1298.7156399499706</v>
      </c>
      <c r="K238" s="68">
        <f t="shared" si="340"/>
        <v>0</v>
      </c>
      <c r="L238" s="62">
        <f t="shared" si="299"/>
        <v>0</v>
      </c>
      <c r="M238" s="69">
        <f t="shared" ref="M238:M301" si="355">+R238-J238</f>
        <v>0</v>
      </c>
      <c r="P238" s="68">
        <f t="shared" si="342"/>
        <v>0</v>
      </c>
      <c r="Q238" s="62">
        <f t="shared" si="301"/>
        <v>0</v>
      </c>
      <c r="R238" s="69">
        <f t="shared" ref="R238:R301" si="356">+W238-O238</f>
        <v>0</v>
      </c>
      <c r="U238" s="68">
        <f t="shared" si="344"/>
        <v>0</v>
      </c>
      <c r="V238" s="62">
        <f t="shared" si="297"/>
        <v>0</v>
      </c>
      <c r="W238" s="69">
        <f t="shared" ref="W238:W301" si="357">+AB238-T238</f>
        <v>0</v>
      </c>
      <c r="Y238" s="75">
        <f>$AD$237*B238/$G$237</f>
        <v>0</v>
      </c>
      <c r="AA238" s="68">
        <f t="shared" si="298"/>
        <v>0</v>
      </c>
      <c r="AB238" s="69">
        <f t="shared" si="351"/>
        <v>0</v>
      </c>
      <c r="AD238" s="75">
        <f>$AD$237*G238/$G$237</f>
        <v>0</v>
      </c>
    </row>
    <row r="239" spans="1:34" ht="15" customHeight="1" outlineLevel="2" x14ac:dyDescent="0.25">
      <c r="B239" s="71">
        <v>6450</v>
      </c>
      <c r="C239" s="56" t="s">
        <v>191</v>
      </c>
      <c r="E239" s="73">
        <v>800</v>
      </c>
      <c r="F239" s="74">
        <f t="shared" si="354"/>
        <v>1055.7215340984485</v>
      </c>
      <c r="G239" s="75">
        <v>2</v>
      </c>
      <c r="H239" s="56" t="s">
        <v>39</v>
      </c>
      <c r="I239" s="73">
        <f t="shared" si="328"/>
        <v>527.86076704922425</v>
      </c>
      <c r="K239" s="68">
        <f t="shared" si="340"/>
        <v>0</v>
      </c>
      <c r="L239" s="62">
        <f t="shared" si="299"/>
        <v>0</v>
      </c>
      <c r="M239" s="69">
        <f t="shared" si="355"/>
        <v>0</v>
      </c>
      <c r="P239" s="68">
        <f t="shared" si="342"/>
        <v>0</v>
      </c>
      <c r="Q239" s="62">
        <f t="shared" si="301"/>
        <v>0</v>
      </c>
      <c r="R239" s="69">
        <f t="shared" si="356"/>
        <v>0</v>
      </c>
      <c r="U239" s="68">
        <f t="shared" si="344"/>
        <v>0</v>
      </c>
      <c r="V239" s="62">
        <f t="shared" si="297"/>
        <v>0</v>
      </c>
      <c r="W239" s="69">
        <f t="shared" si="357"/>
        <v>0</v>
      </c>
      <c r="Y239" s="75">
        <f>$AD$237*B239/$G$237</f>
        <v>0</v>
      </c>
      <c r="AA239" s="68">
        <f t="shared" si="298"/>
        <v>0</v>
      </c>
      <c r="AB239" s="69">
        <f t="shared" si="351"/>
        <v>0</v>
      </c>
      <c r="AD239" s="75">
        <f>$AD$237*G239/$G$237</f>
        <v>0</v>
      </c>
    </row>
    <row r="240" spans="1:34" ht="15" customHeight="1" outlineLevel="1" x14ac:dyDescent="0.25">
      <c r="A240" s="67"/>
      <c r="B240" s="66"/>
      <c r="C240" s="67" t="s">
        <v>192</v>
      </c>
      <c r="D240" s="68"/>
      <c r="E240" s="68">
        <v>8174.72</v>
      </c>
      <c r="F240" s="68">
        <f t="shared" si="354"/>
        <v>10787.784924031586</v>
      </c>
      <c r="G240" s="69">
        <v>434</v>
      </c>
      <c r="H240" s="67" t="s">
        <v>40</v>
      </c>
      <c r="I240" s="68">
        <f t="shared" si="328"/>
        <v>24.856647290395362</v>
      </c>
      <c r="J240" s="69"/>
      <c r="K240" s="68">
        <f t="shared" si="340"/>
        <v>0</v>
      </c>
      <c r="L240" s="62">
        <f t="shared" si="299"/>
        <v>10787.784924031586</v>
      </c>
      <c r="M240" s="69">
        <f t="shared" si="355"/>
        <v>434</v>
      </c>
      <c r="N240" s="70">
        <f t="shared" ref="N240" si="358">100%-(L240/$F240)</f>
        <v>0</v>
      </c>
      <c r="O240" s="69"/>
      <c r="P240" s="68">
        <f t="shared" si="342"/>
        <v>0</v>
      </c>
      <c r="Q240" s="62">
        <f t="shared" si="301"/>
        <v>10787.784924031586</v>
      </c>
      <c r="R240" s="69">
        <f t="shared" si="356"/>
        <v>434</v>
      </c>
      <c r="S240" s="70">
        <f t="shared" ref="S240" si="359">100%-(Q240/$F240)</f>
        <v>0</v>
      </c>
      <c r="T240" s="69"/>
      <c r="U240" s="68">
        <f t="shared" si="344"/>
        <v>0</v>
      </c>
      <c r="V240" s="62">
        <f t="shared" si="297"/>
        <v>10787.784924031586</v>
      </c>
      <c r="W240" s="69">
        <f t="shared" si="357"/>
        <v>434</v>
      </c>
      <c r="X240" s="70">
        <f t="shared" ref="X240" si="360">100%-(V240/$F240)</f>
        <v>0</v>
      </c>
      <c r="Y240" s="69"/>
      <c r="Z240" s="68">
        <f>Y240*D240</f>
        <v>0</v>
      </c>
      <c r="AA240" s="68">
        <f t="shared" si="298"/>
        <v>10787.784924031586</v>
      </c>
      <c r="AB240" s="69">
        <f t="shared" si="351"/>
        <v>434</v>
      </c>
      <c r="AC240" s="70">
        <f t="shared" ref="AC240" si="361">100%-(AA240/$F240)</f>
        <v>0</v>
      </c>
      <c r="AD240" s="69"/>
      <c r="AE240" s="68">
        <f>AD240*I240</f>
        <v>0</v>
      </c>
      <c r="AF240" s="68">
        <f>F240-AE240</f>
        <v>10787.784924031586</v>
      </c>
      <c r="AG240" s="69">
        <f>G240-AD240</f>
        <v>434</v>
      </c>
      <c r="AH240" s="70">
        <f t="shared" ref="AH240" si="362">100%-(AF240/$F240)</f>
        <v>0</v>
      </c>
    </row>
    <row r="241" spans="1:34" ht="15" customHeight="1" outlineLevel="2" x14ac:dyDescent="0.25">
      <c r="B241" s="71">
        <v>6001</v>
      </c>
      <c r="C241" s="56" t="s">
        <v>101</v>
      </c>
      <c r="E241" s="73">
        <v>5247.45</v>
      </c>
      <c r="F241" s="74">
        <f t="shared" si="354"/>
        <v>6924.8074551311292</v>
      </c>
      <c r="G241" s="75">
        <v>434</v>
      </c>
      <c r="H241" s="56" t="s">
        <v>40</v>
      </c>
      <c r="I241" s="73">
        <f t="shared" si="328"/>
        <v>15.955777546385091</v>
      </c>
      <c r="K241" s="68">
        <f t="shared" si="340"/>
        <v>0</v>
      </c>
      <c r="L241" s="62">
        <f t="shared" si="299"/>
        <v>0</v>
      </c>
      <c r="M241" s="69">
        <f t="shared" si="355"/>
        <v>0</v>
      </c>
      <c r="P241" s="68">
        <f t="shared" si="342"/>
        <v>0</v>
      </c>
      <c r="Q241" s="62">
        <f t="shared" si="301"/>
        <v>0</v>
      </c>
      <c r="R241" s="69">
        <f t="shared" si="356"/>
        <v>0</v>
      </c>
      <c r="U241" s="68">
        <f t="shared" si="344"/>
        <v>0</v>
      </c>
      <c r="V241" s="62">
        <f t="shared" si="297"/>
        <v>0</v>
      </c>
      <c r="W241" s="69">
        <f t="shared" si="357"/>
        <v>0</v>
      </c>
      <c r="Y241" s="75">
        <f>$AD$240*B241/$G$240</f>
        <v>0</v>
      </c>
      <c r="AA241" s="68">
        <f t="shared" si="298"/>
        <v>0</v>
      </c>
      <c r="AB241" s="69">
        <f t="shared" si="351"/>
        <v>0</v>
      </c>
      <c r="AD241" s="75">
        <f>$AD$240*G241/$G$240</f>
        <v>0</v>
      </c>
    </row>
    <row r="242" spans="1:34" ht="15" customHeight="1" outlineLevel="2" x14ac:dyDescent="0.25">
      <c r="B242" s="71">
        <v>2180</v>
      </c>
      <c r="C242" s="56" t="s">
        <v>50</v>
      </c>
      <c r="E242" s="73">
        <v>1507.33</v>
      </c>
      <c r="F242" s="74">
        <f t="shared" si="354"/>
        <v>1989.1509249907679</v>
      </c>
      <c r="G242" s="75">
        <v>167.48</v>
      </c>
      <c r="H242" s="56" t="s">
        <v>43</v>
      </c>
      <c r="I242" s="73">
        <f t="shared" si="328"/>
        <v>11.876946053204968</v>
      </c>
      <c r="K242" s="68">
        <f t="shared" si="340"/>
        <v>0</v>
      </c>
      <c r="L242" s="62">
        <f t="shared" si="299"/>
        <v>0</v>
      </c>
      <c r="M242" s="69">
        <f t="shared" si="355"/>
        <v>0</v>
      </c>
      <c r="P242" s="68">
        <f t="shared" si="342"/>
        <v>0</v>
      </c>
      <c r="Q242" s="62">
        <f t="shared" si="301"/>
        <v>0</v>
      </c>
      <c r="R242" s="69">
        <f t="shared" si="356"/>
        <v>0</v>
      </c>
      <c r="U242" s="68">
        <f t="shared" si="344"/>
        <v>0</v>
      </c>
      <c r="V242" s="62">
        <f t="shared" si="297"/>
        <v>0</v>
      </c>
      <c r="W242" s="69">
        <f t="shared" si="357"/>
        <v>0</v>
      </c>
      <c r="Y242" s="75">
        <f>$AD$240*B242/$G$240</f>
        <v>0</v>
      </c>
      <c r="AA242" s="68">
        <f t="shared" si="298"/>
        <v>0</v>
      </c>
      <c r="AB242" s="69">
        <f t="shared" si="351"/>
        <v>0</v>
      </c>
      <c r="AD242" s="75">
        <f>$AD$240*G242/$G$240</f>
        <v>0</v>
      </c>
    </row>
    <row r="243" spans="1:34" ht="15" customHeight="1" outlineLevel="2" x14ac:dyDescent="0.25">
      <c r="B243" s="71">
        <v>2149</v>
      </c>
      <c r="C243" s="56" t="s">
        <v>48</v>
      </c>
      <c r="E243" s="73">
        <v>1419.94</v>
      </c>
      <c r="F243" s="74">
        <f t="shared" si="354"/>
        <v>1873.8265439096888</v>
      </c>
      <c r="G243" s="75">
        <v>167.48</v>
      </c>
      <c r="H243" s="56" t="s">
        <v>43</v>
      </c>
      <c r="I243" s="73">
        <f t="shared" si="328"/>
        <v>11.188360066334422</v>
      </c>
      <c r="K243" s="68">
        <f t="shared" si="340"/>
        <v>0</v>
      </c>
      <c r="L243" s="62">
        <f t="shared" si="299"/>
        <v>0</v>
      </c>
      <c r="M243" s="69">
        <f t="shared" si="355"/>
        <v>0</v>
      </c>
      <c r="P243" s="68">
        <f t="shared" si="342"/>
        <v>0</v>
      </c>
      <c r="Q243" s="62">
        <f t="shared" si="301"/>
        <v>0</v>
      </c>
      <c r="R243" s="69">
        <f t="shared" si="356"/>
        <v>0</v>
      </c>
      <c r="U243" s="68">
        <f t="shared" si="344"/>
        <v>0</v>
      </c>
      <c r="V243" s="62">
        <f t="shared" si="297"/>
        <v>0</v>
      </c>
      <c r="W243" s="69">
        <f t="shared" si="357"/>
        <v>0</v>
      </c>
      <c r="Y243" s="75">
        <f>$AD$240*B243/$G$240</f>
        <v>0</v>
      </c>
      <c r="AA243" s="68">
        <f t="shared" si="298"/>
        <v>0</v>
      </c>
      <c r="AB243" s="69">
        <f t="shared" si="351"/>
        <v>0</v>
      </c>
      <c r="AD243" s="75">
        <f>$AD$240*G243/$G$240</f>
        <v>0</v>
      </c>
    </row>
    <row r="244" spans="1:34" ht="15" customHeight="1" outlineLevel="1" x14ac:dyDescent="0.25">
      <c r="A244" s="67"/>
      <c r="B244" s="66"/>
      <c r="C244" s="67" t="s">
        <v>193</v>
      </c>
      <c r="D244" s="68"/>
      <c r="E244" s="68">
        <v>1336.85</v>
      </c>
      <c r="F244" s="68">
        <f t="shared" si="354"/>
        <v>1764.1766660743883</v>
      </c>
      <c r="G244" s="69">
        <v>30</v>
      </c>
      <c r="H244" s="67" t="s">
        <v>40</v>
      </c>
      <c r="I244" s="68">
        <f t="shared" si="328"/>
        <v>58.80588886914628</v>
      </c>
      <c r="J244" s="69"/>
      <c r="K244" s="68">
        <f t="shared" si="340"/>
        <v>0</v>
      </c>
      <c r="L244" s="62">
        <f t="shared" si="299"/>
        <v>1764.1766660743883</v>
      </c>
      <c r="M244" s="69">
        <f t="shared" si="355"/>
        <v>30</v>
      </c>
      <c r="N244" s="70">
        <f t="shared" ref="N244" si="363">100%-(L244/$F244)</f>
        <v>0</v>
      </c>
      <c r="O244" s="69"/>
      <c r="P244" s="68">
        <f t="shared" si="342"/>
        <v>0</v>
      </c>
      <c r="Q244" s="62">
        <f t="shared" si="301"/>
        <v>1764.1766660743883</v>
      </c>
      <c r="R244" s="69">
        <f t="shared" si="356"/>
        <v>30</v>
      </c>
      <c r="S244" s="70">
        <f t="shared" ref="S244" si="364">100%-(Q244/$F244)</f>
        <v>0</v>
      </c>
      <c r="T244" s="69"/>
      <c r="U244" s="68">
        <f t="shared" si="344"/>
        <v>0</v>
      </c>
      <c r="V244" s="62">
        <f t="shared" si="297"/>
        <v>1764.1766660743883</v>
      </c>
      <c r="W244" s="69">
        <f t="shared" si="357"/>
        <v>30</v>
      </c>
      <c r="X244" s="70">
        <f t="shared" ref="X244" si="365">100%-(V244/$F244)</f>
        <v>0</v>
      </c>
      <c r="Y244" s="69"/>
      <c r="Z244" s="68">
        <f>Y244*D244</f>
        <v>0</v>
      </c>
      <c r="AA244" s="68">
        <f t="shared" si="298"/>
        <v>1764.1766660743883</v>
      </c>
      <c r="AB244" s="69">
        <f t="shared" si="351"/>
        <v>30</v>
      </c>
      <c r="AC244" s="70">
        <f t="shared" ref="AC244" si="366">100%-(AA244/$F244)</f>
        <v>0</v>
      </c>
      <c r="AD244" s="69"/>
      <c r="AE244" s="68">
        <f>AD244*I244</f>
        <v>0</v>
      </c>
      <c r="AF244" s="68">
        <f>F244-AE244</f>
        <v>1764.1766660743883</v>
      </c>
      <c r="AG244" s="69">
        <f>G244-AD244</f>
        <v>30</v>
      </c>
      <c r="AH244" s="70">
        <f t="shared" ref="AH244" si="367">100%-(AF244/$F244)</f>
        <v>0</v>
      </c>
    </row>
    <row r="245" spans="1:34" ht="15" customHeight="1" outlineLevel="2" x14ac:dyDescent="0.25">
      <c r="B245" s="71">
        <v>6004</v>
      </c>
      <c r="C245" s="56" t="s">
        <v>64</v>
      </c>
      <c r="E245" s="73">
        <v>832.3</v>
      </c>
      <c r="F245" s="74">
        <f t="shared" si="354"/>
        <v>1098.3462910376732</v>
      </c>
      <c r="G245" s="75">
        <v>30</v>
      </c>
      <c r="H245" s="56" t="s">
        <v>40</v>
      </c>
      <c r="I245" s="73">
        <f t="shared" si="328"/>
        <v>36.611543034589104</v>
      </c>
      <c r="K245" s="68">
        <f t="shared" si="340"/>
        <v>0</v>
      </c>
      <c r="L245" s="62">
        <f t="shared" si="299"/>
        <v>0</v>
      </c>
      <c r="M245" s="69">
        <f t="shared" si="355"/>
        <v>0</v>
      </c>
      <c r="P245" s="68">
        <f t="shared" si="342"/>
        <v>0</v>
      </c>
      <c r="Q245" s="62">
        <f t="shared" si="301"/>
        <v>0</v>
      </c>
      <c r="R245" s="69">
        <f t="shared" si="356"/>
        <v>0</v>
      </c>
      <c r="U245" s="68">
        <f t="shared" si="344"/>
        <v>0</v>
      </c>
      <c r="V245" s="62">
        <f t="shared" si="297"/>
        <v>0</v>
      </c>
      <c r="W245" s="69">
        <f t="shared" si="357"/>
        <v>0</v>
      </c>
      <c r="Y245" s="75">
        <f t="shared" ref="Y245:Y252" si="368">$AD$244*B245/$G$244</f>
        <v>0</v>
      </c>
      <c r="AA245" s="68">
        <f t="shared" si="298"/>
        <v>0</v>
      </c>
      <c r="AB245" s="69">
        <f t="shared" si="351"/>
        <v>0</v>
      </c>
      <c r="AD245" s="75">
        <f t="shared" ref="AD245:AD252" si="369">$AD$244*G245/$G$244</f>
        <v>0</v>
      </c>
    </row>
    <row r="246" spans="1:34" ht="15" customHeight="1" outlineLevel="2" x14ac:dyDescent="0.25">
      <c r="B246" s="71">
        <v>2180</v>
      </c>
      <c r="C246" s="56" t="s">
        <v>50</v>
      </c>
      <c r="E246" s="73">
        <v>105.3</v>
      </c>
      <c r="F246" s="74">
        <f t="shared" si="354"/>
        <v>138.95934692570827</v>
      </c>
      <c r="G246" s="75">
        <v>11.7</v>
      </c>
      <c r="H246" s="56" t="s">
        <v>43</v>
      </c>
      <c r="I246" s="73">
        <f t="shared" si="328"/>
        <v>11.876867258607545</v>
      </c>
      <c r="K246" s="68">
        <f t="shared" si="340"/>
        <v>0</v>
      </c>
      <c r="L246" s="62">
        <f t="shared" si="299"/>
        <v>0</v>
      </c>
      <c r="M246" s="69">
        <f t="shared" si="355"/>
        <v>0</v>
      </c>
      <c r="P246" s="68">
        <f t="shared" si="342"/>
        <v>0</v>
      </c>
      <c r="Q246" s="62">
        <f t="shared" si="301"/>
        <v>0</v>
      </c>
      <c r="R246" s="69">
        <f t="shared" si="356"/>
        <v>0</v>
      </c>
      <c r="U246" s="68">
        <f t="shared" si="344"/>
        <v>0</v>
      </c>
      <c r="V246" s="62">
        <f t="shared" si="297"/>
        <v>0</v>
      </c>
      <c r="W246" s="69">
        <f t="shared" si="357"/>
        <v>0</v>
      </c>
      <c r="Y246" s="75">
        <f t="shared" si="368"/>
        <v>0</v>
      </c>
      <c r="AA246" s="68">
        <f t="shared" si="298"/>
        <v>0</v>
      </c>
      <c r="AB246" s="69">
        <f t="shared" si="351"/>
        <v>0</v>
      </c>
      <c r="AD246" s="75">
        <f t="shared" si="369"/>
        <v>0</v>
      </c>
    </row>
    <row r="247" spans="1:34" ht="15" customHeight="1" outlineLevel="2" x14ac:dyDescent="0.25">
      <c r="B247" s="71">
        <v>2149</v>
      </c>
      <c r="C247" s="56" t="s">
        <v>48</v>
      </c>
      <c r="E247" s="73">
        <v>99.2</v>
      </c>
      <c r="F247" s="74">
        <f t="shared" si="354"/>
        <v>130.90947022820762</v>
      </c>
      <c r="G247" s="75">
        <v>11.7</v>
      </c>
      <c r="H247" s="56" t="s">
        <v>43</v>
      </c>
      <c r="I247" s="73">
        <f t="shared" si="328"/>
        <v>11.188843609248515</v>
      </c>
      <c r="K247" s="68">
        <f t="shared" si="340"/>
        <v>0</v>
      </c>
      <c r="L247" s="62">
        <f t="shared" si="299"/>
        <v>0</v>
      </c>
      <c r="M247" s="69">
        <f t="shared" si="355"/>
        <v>0</v>
      </c>
      <c r="P247" s="68">
        <f t="shared" si="342"/>
        <v>0</v>
      </c>
      <c r="Q247" s="62">
        <f t="shared" si="301"/>
        <v>0</v>
      </c>
      <c r="R247" s="69">
        <f t="shared" si="356"/>
        <v>0</v>
      </c>
      <c r="U247" s="68">
        <f t="shared" si="344"/>
        <v>0</v>
      </c>
      <c r="V247" s="62">
        <f t="shared" si="297"/>
        <v>0</v>
      </c>
      <c r="W247" s="69">
        <f t="shared" si="357"/>
        <v>0</v>
      </c>
      <c r="Y247" s="75">
        <f t="shared" si="368"/>
        <v>0</v>
      </c>
      <c r="AA247" s="68">
        <f t="shared" si="298"/>
        <v>0</v>
      </c>
      <c r="AB247" s="69">
        <f t="shared" si="351"/>
        <v>0</v>
      </c>
      <c r="AD247" s="75">
        <f t="shared" si="369"/>
        <v>0</v>
      </c>
    </row>
    <row r="248" spans="1:34" ht="15" customHeight="1" outlineLevel="2" x14ac:dyDescent="0.25">
      <c r="B248" s="71">
        <v>6490</v>
      </c>
      <c r="C248" s="56" t="s">
        <v>69</v>
      </c>
      <c r="E248" s="73">
        <v>22.98</v>
      </c>
      <c r="F248" s="74">
        <f t="shared" si="354"/>
        <v>30.325601066977931</v>
      </c>
      <c r="G248" s="75">
        <v>30</v>
      </c>
      <c r="H248" s="56" t="s">
        <v>40</v>
      </c>
      <c r="I248" s="73">
        <f t="shared" si="328"/>
        <v>1.0108533688992645</v>
      </c>
      <c r="K248" s="68">
        <f t="shared" si="340"/>
        <v>0</v>
      </c>
      <c r="L248" s="62">
        <f t="shared" si="299"/>
        <v>0</v>
      </c>
      <c r="M248" s="69">
        <f t="shared" si="355"/>
        <v>0</v>
      </c>
      <c r="P248" s="68">
        <f t="shared" si="342"/>
        <v>0</v>
      </c>
      <c r="Q248" s="62">
        <f t="shared" si="301"/>
        <v>0</v>
      </c>
      <c r="R248" s="69">
        <f t="shared" si="356"/>
        <v>0</v>
      </c>
      <c r="U248" s="68">
        <f t="shared" si="344"/>
        <v>0</v>
      </c>
      <c r="V248" s="62">
        <f t="shared" si="297"/>
        <v>0</v>
      </c>
      <c r="W248" s="69">
        <f t="shared" si="357"/>
        <v>0</v>
      </c>
      <c r="Y248" s="75">
        <f t="shared" si="368"/>
        <v>0</v>
      </c>
      <c r="AA248" s="68">
        <f t="shared" si="298"/>
        <v>0</v>
      </c>
      <c r="AB248" s="69">
        <f t="shared" si="351"/>
        <v>0</v>
      </c>
      <c r="AD248" s="75">
        <f t="shared" si="369"/>
        <v>0</v>
      </c>
    </row>
    <row r="249" spans="1:34" ht="15" customHeight="1" outlineLevel="2" x14ac:dyDescent="0.25">
      <c r="B249" s="71">
        <v>2172</v>
      </c>
      <c r="C249" s="56" t="s">
        <v>133</v>
      </c>
      <c r="E249" s="73">
        <v>55.2</v>
      </c>
      <c r="F249" s="74">
        <f t="shared" si="354"/>
        <v>72.844785852792953</v>
      </c>
      <c r="G249" s="75">
        <v>6.33</v>
      </c>
      <c r="H249" s="56" t="s">
        <v>43</v>
      </c>
      <c r="I249" s="73">
        <f t="shared" si="328"/>
        <v>11.507865063632378</v>
      </c>
      <c r="K249" s="68">
        <f t="shared" si="340"/>
        <v>0</v>
      </c>
      <c r="L249" s="62">
        <f t="shared" si="299"/>
        <v>0</v>
      </c>
      <c r="M249" s="69">
        <f t="shared" si="355"/>
        <v>0</v>
      </c>
      <c r="P249" s="68">
        <f t="shared" si="342"/>
        <v>0</v>
      </c>
      <c r="Q249" s="62">
        <f t="shared" si="301"/>
        <v>0</v>
      </c>
      <c r="R249" s="69">
        <f t="shared" si="356"/>
        <v>0</v>
      </c>
      <c r="U249" s="68">
        <f t="shared" si="344"/>
        <v>0</v>
      </c>
      <c r="V249" s="62">
        <f t="shared" si="297"/>
        <v>0</v>
      </c>
      <c r="W249" s="69">
        <f t="shared" si="357"/>
        <v>0</v>
      </c>
      <c r="Y249" s="75">
        <f t="shared" si="368"/>
        <v>0</v>
      </c>
      <c r="AA249" s="68">
        <f t="shared" si="298"/>
        <v>0</v>
      </c>
      <c r="AB249" s="69">
        <f t="shared" si="351"/>
        <v>0</v>
      </c>
      <c r="AD249" s="75">
        <f t="shared" si="369"/>
        <v>0</v>
      </c>
    </row>
    <row r="250" spans="1:34" ht="15" customHeight="1" outlineLevel="2" x14ac:dyDescent="0.25">
      <c r="B250" s="71">
        <v>2149</v>
      </c>
      <c r="C250" s="56" t="s">
        <v>48</v>
      </c>
      <c r="E250" s="73">
        <v>53.7</v>
      </c>
      <c r="F250" s="74">
        <f t="shared" si="354"/>
        <v>70.865307976358352</v>
      </c>
      <c r="G250" s="75">
        <v>6.33</v>
      </c>
      <c r="H250" s="56" t="s">
        <v>43</v>
      </c>
      <c r="I250" s="73">
        <f t="shared" si="328"/>
        <v>11.19515133907715</v>
      </c>
      <c r="K250" s="68">
        <f t="shared" si="340"/>
        <v>0</v>
      </c>
      <c r="L250" s="62">
        <f t="shared" si="299"/>
        <v>0</v>
      </c>
      <c r="M250" s="69">
        <f t="shared" si="355"/>
        <v>0</v>
      </c>
      <c r="P250" s="68">
        <f t="shared" si="342"/>
        <v>0</v>
      </c>
      <c r="Q250" s="62">
        <f t="shared" si="301"/>
        <v>0</v>
      </c>
      <c r="R250" s="69">
        <f t="shared" si="356"/>
        <v>0</v>
      </c>
      <c r="U250" s="68">
        <f t="shared" si="344"/>
        <v>0</v>
      </c>
      <c r="V250" s="62">
        <f t="shared" si="297"/>
        <v>0</v>
      </c>
      <c r="W250" s="69">
        <f t="shared" si="357"/>
        <v>0</v>
      </c>
      <c r="Y250" s="75">
        <f t="shared" si="368"/>
        <v>0</v>
      </c>
      <c r="AA250" s="68">
        <f t="shared" si="298"/>
        <v>0</v>
      </c>
      <c r="AB250" s="69">
        <f t="shared" si="351"/>
        <v>0</v>
      </c>
      <c r="AD250" s="75">
        <f t="shared" si="369"/>
        <v>0</v>
      </c>
    </row>
    <row r="251" spans="1:34" ht="15" customHeight="1" outlineLevel="2" x14ac:dyDescent="0.25">
      <c r="B251" s="71">
        <v>2150</v>
      </c>
      <c r="C251" s="56" t="s">
        <v>38</v>
      </c>
      <c r="E251" s="73">
        <v>124.22</v>
      </c>
      <c r="F251" s="74">
        <f t="shared" si="354"/>
        <v>163.92716120713658</v>
      </c>
      <c r="G251" s="75">
        <v>14.65</v>
      </c>
      <c r="H251" s="56" t="s">
        <v>43</v>
      </c>
      <c r="I251" s="73">
        <f t="shared" si="328"/>
        <v>11.189567317893282</v>
      </c>
      <c r="K251" s="68">
        <f t="shared" si="340"/>
        <v>0</v>
      </c>
      <c r="L251" s="62">
        <f t="shared" si="299"/>
        <v>0</v>
      </c>
      <c r="M251" s="69">
        <f t="shared" si="355"/>
        <v>0</v>
      </c>
      <c r="P251" s="68">
        <f t="shared" si="342"/>
        <v>0</v>
      </c>
      <c r="Q251" s="62">
        <f t="shared" si="301"/>
        <v>0</v>
      </c>
      <c r="R251" s="69">
        <f t="shared" si="356"/>
        <v>0</v>
      </c>
      <c r="U251" s="68">
        <f t="shared" si="344"/>
        <v>0</v>
      </c>
      <c r="V251" s="62">
        <f t="shared" si="297"/>
        <v>0</v>
      </c>
      <c r="W251" s="69">
        <f t="shared" si="357"/>
        <v>0</v>
      </c>
      <c r="Y251" s="75">
        <f t="shared" si="368"/>
        <v>0</v>
      </c>
      <c r="AA251" s="68">
        <f t="shared" si="298"/>
        <v>0</v>
      </c>
      <c r="AB251" s="69">
        <f t="shared" si="351"/>
        <v>0</v>
      </c>
      <c r="AD251" s="75">
        <f t="shared" si="369"/>
        <v>0</v>
      </c>
    </row>
    <row r="252" spans="1:34" ht="15" customHeight="1" outlineLevel="2" x14ac:dyDescent="0.25">
      <c r="B252" s="71">
        <v>2490</v>
      </c>
      <c r="C252" s="56" t="s">
        <v>37</v>
      </c>
      <c r="E252" s="73">
        <v>43.95</v>
      </c>
      <c r="F252" s="74">
        <f t="shared" si="354"/>
        <v>57.998701779533512</v>
      </c>
      <c r="G252" s="75">
        <v>14.65</v>
      </c>
      <c r="H252" s="56" t="s">
        <v>43</v>
      </c>
      <c r="I252" s="73">
        <f t="shared" si="328"/>
        <v>3.9589557528691817</v>
      </c>
      <c r="K252" s="68">
        <f t="shared" si="340"/>
        <v>0</v>
      </c>
      <c r="L252" s="62">
        <f t="shared" si="299"/>
        <v>0</v>
      </c>
      <c r="M252" s="69">
        <f t="shared" si="355"/>
        <v>0</v>
      </c>
      <c r="P252" s="68">
        <f t="shared" si="342"/>
        <v>0</v>
      </c>
      <c r="Q252" s="62">
        <f t="shared" si="301"/>
        <v>0</v>
      </c>
      <c r="R252" s="69">
        <f t="shared" si="356"/>
        <v>0</v>
      </c>
      <c r="U252" s="68">
        <f t="shared" si="344"/>
        <v>0</v>
      </c>
      <c r="V252" s="62">
        <f t="shared" si="297"/>
        <v>0</v>
      </c>
      <c r="W252" s="69">
        <f t="shared" si="357"/>
        <v>0</v>
      </c>
      <c r="Y252" s="75">
        <f t="shared" si="368"/>
        <v>0</v>
      </c>
      <c r="AA252" s="68">
        <f t="shared" si="298"/>
        <v>0</v>
      </c>
      <c r="AB252" s="69">
        <f t="shared" si="351"/>
        <v>0</v>
      </c>
      <c r="AD252" s="75">
        <f t="shared" si="369"/>
        <v>0</v>
      </c>
    </row>
    <row r="253" spans="1:34" ht="15" customHeight="1" outlineLevel="1" x14ac:dyDescent="0.25">
      <c r="A253" s="67"/>
      <c r="B253" s="66"/>
      <c r="C253" s="67" t="s">
        <v>194</v>
      </c>
      <c r="D253" s="68"/>
      <c r="E253" s="68">
        <v>3999.17</v>
      </c>
      <c r="F253" s="68">
        <f t="shared" si="354"/>
        <v>5277.5123594006154</v>
      </c>
      <c r="G253" s="69">
        <v>77</v>
      </c>
      <c r="H253" s="67" t="s">
        <v>40</v>
      </c>
      <c r="I253" s="68">
        <f t="shared" si="328"/>
        <v>68.539121550657342</v>
      </c>
      <c r="J253" s="69"/>
      <c r="K253" s="68">
        <f t="shared" si="340"/>
        <v>0</v>
      </c>
      <c r="L253" s="62">
        <f t="shared" si="299"/>
        <v>5277.5123594006154</v>
      </c>
      <c r="M253" s="69">
        <f t="shared" si="355"/>
        <v>77</v>
      </c>
      <c r="N253" s="70">
        <f t="shared" ref="N253" si="370">100%-(L253/$F253)</f>
        <v>0</v>
      </c>
      <c r="O253" s="69"/>
      <c r="P253" s="68">
        <f t="shared" si="342"/>
        <v>0</v>
      </c>
      <c r="Q253" s="62">
        <f t="shared" si="301"/>
        <v>5277.5123594006154</v>
      </c>
      <c r="R253" s="69">
        <f t="shared" si="356"/>
        <v>77</v>
      </c>
      <c r="S253" s="70">
        <f t="shared" ref="S253" si="371">100%-(Q253/$F253)</f>
        <v>0</v>
      </c>
      <c r="T253" s="69"/>
      <c r="U253" s="68">
        <f t="shared" si="344"/>
        <v>0</v>
      </c>
      <c r="V253" s="62">
        <f t="shared" si="297"/>
        <v>5277.5123594006154</v>
      </c>
      <c r="W253" s="69">
        <f t="shared" si="357"/>
        <v>77</v>
      </c>
      <c r="X253" s="70">
        <f t="shared" ref="X253" si="372">100%-(V253/$F253)</f>
        <v>0</v>
      </c>
      <c r="Y253" s="69"/>
      <c r="Z253" s="68">
        <f>Y253*D253</f>
        <v>0</v>
      </c>
      <c r="AA253" s="68">
        <f t="shared" si="298"/>
        <v>5277.5123594006154</v>
      </c>
      <c r="AB253" s="69">
        <f t="shared" si="351"/>
        <v>77</v>
      </c>
      <c r="AC253" s="70">
        <f t="shared" ref="AC253" si="373">100%-(AA253/$F253)</f>
        <v>0</v>
      </c>
      <c r="AD253" s="69"/>
      <c r="AE253" s="68">
        <f>AD253*I253</f>
        <v>0</v>
      </c>
      <c r="AF253" s="68">
        <f>F253-AE253</f>
        <v>5277.5123594006154</v>
      </c>
      <c r="AG253" s="69">
        <f>G253-AD253</f>
        <v>77</v>
      </c>
      <c r="AH253" s="70">
        <f t="shared" ref="AH253" si="374">100%-(AF253/$F253)</f>
        <v>0</v>
      </c>
    </row>
    <row r="254" spans="1:34" ht="15" customHeight="1" outlineLevel="2" x14ac:dyDescent="0.25">
      <c r="B254" s="71">
        <v>6006</v>
      </c>
      <c r="C254" s="56" t="s">
        <v>65</v>
      </c>
      <c r="E254" s="73">
        <v>2136.25</v>
      </c>
      <c r="F254" s="74">
        <f t="shared" si="354"/>
        <v>2819.1064090222631</v>
      </c>
      <c r="G254" s="75">
        <v>77</v>
      </c>
      <c r="H254" s="56" t="s">
        <v>40</v>
      </c>
      <c r="I254" s="73">
        <f t="shared" si="328"/>
        <v>36.611771545743679</v>
      </c>
      <c r="K254" s="68">
        <f t="shared" si="340"/>
        <v>0</v>
      </c>
      <c r="L254" s="62">
        <f t="shared" si="299"/>
        <v>0</v>
      </c>
      <c r="M254" s="69">
        <f t="shared" si="355"/>
        <v>0</v>
      </c>
      <c r="P254" s="68">
        <f t="shared" si="342"/>
        <v>0</v>
      </c>
      <c r="Q254" s="62">
        <f t="shared" si="301"/>
        <v>0</v>
      </c>
      <c r="R254" s="69">
        <f t="shared" si="356"/>
        <v>0</v>
      </c>
      <c r="U254" s="68">
        <f t="shared" si="344"/>
        <v>0</v>
      </c>
      <c r="V254" s="62">
        <f t="shared" si="297"/>
        <v>0</v>
      </c>
      <c r="W254" s="69">
        <f t="shared" si="357"/>
        <v>0</v>
      </c>
      <c r="Y254" s="75">
        <f t="shared" ref="Y254:Y263" si="375">$AD$253*B254/$G$253</f>
        <v>0</v>
      </c>
      <c r="AA254" s="68">
        <f t="shared" si="298"/>
        <v>0</v>
      </c>
      <c r="AB254" s="69">
        <f t="shared" si="351"/>
        <v>0</v>
      </c>
      <c r="AD254" s="75">
        <f t="shared" ref="AD254:AD263" si="376">$AD$253*G254/$G$253</f>
        <v>0</v>
      </c>
    </row>
    <row r="255" spans="1:34" ht="15" customHeight="1" outlineLevel="2" x14ac:dyDescent="0.25">
      <c r="B255" s="71">
        <v>2180</v>
      </c>
      <c r="C255" s="56" t="s">
        <v>50</v>
      </c>
      <c r="E255" s="73">
        <v>301.45999999999998</v>
      </c>
      <c r="F255" s="74">
        <f t="shared" si="354"/>
        <v>397.8222670866478</v>
      </c>
      <c r="G255" s="75">
        <v>33.5</v>
      </c>
      <c r="H255" s="56" t="s">
        <v>43</v>
      </c>
      <c r="I255" s="73">
        <f t="shared" si="328"/>
        <v>11.875291554825308</v>
      </c>
      <c r="K255" s="68">
        <f t="shared" si="340"/>
        <v>0</v>
      </c>
      <c r="L255" s="62">
        <f t="shared" si="299"/>
        <v>0</v>
      </c>
      <c r="M255" s="69">
        <f t="shared" si="355"/>
        <v>0</v>
      </c>
      <c r="P255" s="68">
        <f t="shared" si="342"/>
        <v>0</v>
      </c>
      <c r="Q255" s="62">
        <f t="shared" si="301"/>
        <v>0</v>
      </c>
      <c r="R255" s="69">
        <f t="shared" si="356"/>
        <v>0</v>
      </c>
      <c r="U255" s="68">
        <f t="shared" si="344"/>
        <v>0</v>
      </c>
      <c r="V255" s="62">
        <f t="shared" si="297"/>
        <v>0</v>
      </c>
      <c r="W255" s="69">
        <f t="shared" si="357"/>
        <v>0</v>
      </c>
      <c r="Y255" s="75">
        <f t="shared" si="375"/>
        <v>0</v>
      </c>
      <c r="AA255" s="68">
        <f t="shared" si="298"/>
        <v>0</v>
      </c>
      <c r="AB255" s="69">
        <f t="shared" si="351"/>
        <v>0</v>
      </c>
      <c r="AD255" s="75">
        <f t="shared" si="376"/>
        <v>0</v>
      </c>
    </row>
    <row r="256" spans="1:34" ht="15" customHeight="1" outlineLevel="2" x14ac:dyDescent="0.25">
      <c r="B256" s="71">
        <v>2149</v>
      </c>
      <c r="C256" s="56" t="s">
        <v>48</v>
      </c>
      <c r="E256" s="73">
        <v>283.98</v>
      </c>
      <c r="F256" s="74">
        <f t="shared" si="354"/>
        <v>374.75475156659678</v>
      </c>
      <c r="G256" s="75">
        <v>33.5</v>
      </c>
      <c r="H256" s="56" t="s">
        <v>43</v>
      </c>
      <c r="I256" s="73">
        <f t="shared" si="328"/>
        <v>11.186709001987964</v>
      </c>
      <c r="K256" s="68">
        <f t="shared" si="340"/>
        <v>0</v>
      </c>
      <c r="L256" s="62">
        <f t="shared" si="299"/>
        <v>0</v>
      </c>
      <c r="M256" s="69">
        <f t="shared" si="355"/>
        <v>0</v>
      </c>
      <c r="P256" s="68">
        <f t="shared" si="342"/>
        <v>0</v>
      </c>
      <c r="Q256" s="62">
        <f t="shared" si="301"/>
        <v>0</v>
      </c>
      <c r="R256" s="69">
        <f t="shared" si="356"/>
        <v>0</v>
      </c>
      <c r="U256" s="68">
        <f t="shared" si="344"/>
        <v>0</v>
      </c>
      <c r="V256" s="62">
        <f t="shared" si="297"/>
        <v>0</v>
      </c>
      <c r="W256" s="69">
        <f t="shared" si="357"/>
        <v>0</v>
      </c>
      <c r="Y256" s="75">
        <f t="shared" si="375"/>
        <v>0</v>
      </c>
      <c r="AA256" s="68">
        <f t="shared" si="298"/>
        <v>0</v>
      </c>
      <c r="AB256" s="69">
        <f t="shared" si="351"/>
        <v>0</v>
      </c>
      <c r="AD256" s="75">
        <f t="shared" si="376"/>
        <v>0</v>
      </c>
    </row>
    <row r="257" spans="1:34" ht="15" customHeight="1" outlineLevel="2" x14ac:dyDescent="0.25">
      <c r="B257" s="71">
        <v>6490</v>
      </c>
      <c r="C257" s="56" t="s">
        <v>69</v>
      </c>
      <c r="E257" s="73">
        <v>58.88</v>
      </c>
      <c r="F257" s="74">
        <f t="shared" si="354"/>
        <v>77.701104909645807</v>
      </c>
      <c r="G257" s="75">
        <v>77</v>
      </c>
      <c r="H257" s="56" t="s">
        <v>40</v>
      </c>
      <c r="I257" s="73">
        <f t="shared" si="328"/>
        <v>1.0091052585668288</v>
      </c>
      <c r="K257" s="68">
        <f t="shared" si="340"/>
        <v>0</v>
      </c>
      <c r="L257" s="62">
        <f t="shared" si="299"/>
        <v>0</v>
      </c>
      <c r="M257" s="69">
        <f t="shared" si="355"/>
        <v>0</v>
      </c>
      <c r="P257" s="68">
        <f t="shared" si="342"/>
        <v>0</v>
      </c>
      <c r="Q257" s="62">
        <f t="shared" si="301"/>
        <v>0</v>
      </c>
      <c r="R257" s="69">
        <f t="shared" si="356"/>
        <v>0</v>
      </c>
      <c r="U257" s="68">
        <f t="shared" si="344"/>
        <v>0</v>
      </c>
      <c r="V257" s="62">
        <f t="shared" si="297"/>
        <v>0</v>
      </c>
      <c r="W257" s="69">
        <f t="shared" si="357"/>
        <v>0</v>
      </c>
      <c r="Y257" s="75">
        <f t="shared" si="375"/>
        <v>0</v>
      </c>
      <c r="AA257" s="68">
        <f t="shared" si="298"/>
        <v>0</v>
      </c>
      <c r="AB257" s="69">
        <f t="shared" si="351"/>
        <v>0</v>
      </c>
      <c r="AD257" s="75">
        <f t="shared" si="376"/>
        <v>0</v>
      </c>
    </row>
    <row r="258" spans="1:34" ht="15" customHeight="1" outlineLevel="2" x14ac:dyDescent="0.25">
      <c r="B258" s="71">
        <v>2172</v>
      </c>
      <c r="C258" s="56" t="s">
        <v>133</v>
      </c>
      <c r="E258" s="73">
        <v>283.37</v>
      </c>
      <c r="F258" s="74">
        <f t="shared" si="354"/>
        <v>373.94976389684666</v>
      </c>
      <c r="G258" s="75">
        <v>32.51</v>
      </c>
      <c r="H258" s="56" t="s">
        <v>43</v>
      </c>
      <c r="I258" s="73">
        <f t="shared" si="328"/>
        <v>11.502607317651389</v>
      </c>
      <c r="K258" s="68">
        <f t="shared" si="340"/>
        <v>0</v>
      </c>
      <c r="L258" s="62">
        <f t="shared" si="299"/>
        <v>0</v>
      </c>
      <c r="M258" s="69">
        <f t="shared" si="355"/>
        <v>0</v>
      </c>
      <c r="P258" s="68">
        <f t="shared" si="342"/>
        <v>0</v>
      </c>
      <c r="Q258" s="62">
        <f t="shared" si="301"/>
        <v>0</v>
      </c>
      <c r="R258" s="69">
        <f t="shared" si="356"/>
        <v>0</v>
      </c>
      <c r="U258" s="68">
        <f t="shared" si="344"/>
        <v>0</v>
      </c>
      <c r="V258" s="62">
        <f t="shared" si="297"/>
        <v>0</v>
      </c>
      <c r="W258" s="69">
        <f t="shared" si="357"/>
        <v>0</v>
      </c>
      <c r="Y258" s="75">
        <f t="shared" si="375"/>
        <v>0</v>
      </c>
      <c r="AA258" s="68">
        <f t="shared" si="298"/>
        <v>0</v>
      </c>
      <c r="AB258" s="69">
        <f t="shared" si="351"/>
        <v>0</v>
      </c>
      <c r="AD258" s="75">
        <f t="shared" si="376"/>
        <v>0</v>
      </c>
    </row>
    <row r="259" spans="1:34" ht="15" customHeight="1" outlineLevel="2" x14ac:dyDescent="0.25">
      <c r="B259" s="71">
        <v>2149</v>
      </c>
      <c r="C259" s="56" t="s">
        <v>48</v>
      </c>
      <c r="E259" s="73">
        <v>275.64</v>
      </c>
      <c r="F259" s="74">
        <f t="shared" si="354"/>
        <v>363.74885457362041</v>
      </c>
      <c r="G259" s="75">
        <v>32.51</v>
      </c>
      <c r="H259" s="56" t="s">
        <v>43</v>
      </c>
      <c r="I259" s="73">
        <f t="shared" si="328"/>
        <v>11.188829731578604</v>
      </c>
      <c r="K259" s="68">
        <f t="shared" si="340"/>
        <v>0</v>
      </c>
      <c r="L259" s="62">
        <f t="shared" si="299"/>
        <v>0</v>
      </c>
      <c r="M259" s="69">
        <f t="shared" si="355"/>
        <v>0</v>
      </c>
      <c r="P259" s="68">
        <f t="shared" si="342"/>
        <v>0</v>
      </c>
      <c r="Q259" s="62">
        <f t="shared" si="301"/>
        <v>0</v>
      </c>
      <c r="R259" s="69">
        <f t="shared" si="356"/>
        <v>0</v>
      </c>
      <c r="U259" s="68">
        <f t="shared" si="344"/>
        <v>0</v>
      </c>
      <c r="V259" s="62">
        <f t="shared" si="297"/>
        <v>0</v>
      </c>
      <c r="W259" s="69">
        <f t="shared" si="357"/>
        <v>0</v>
      </c>
      <c r="Y259" s="75">
        <f t="shared" si="375"/>
        <v>0</v>
      </c>
      <c r="AA259" s="68">
        <f t="shared" si="298"/>
        <v>0</v>
      </c>
      <c r="AB259" s="69">
        <f t="shared" si="351"/>
        <v>0</v>
      </c>
      <c r="AD259" s="75">
        <f t="shared" si="376"/>
        <v>0</v>
      </c>
    </row>
    <row r="260" spans="1:34" ht="15" customHeight="1" outlineLevel="2" x14ac:dyDescent="0.25">
      <c r="B260" s="71">
        <v>2150</v>
      </c>
      <c r="C260" s="56" t="s">
        <v>38</v>
      </c>
      <c r="E260" s="73">
        <v>275.64</v>
      </c>
      <c r="F260" s="74">
        <f t="shared" si="354"/>
        <v>363.74885457362041</v>
      </c>
      <c r="G260" s="75">
        <v>32.51</v>
      </c>
      <c r="H260" s="56" t="s">
        <v>43</v>
      </c>
      <c r="I260" s="73">
        <f t="shared" si="328"/>
        <v>11.188829731578604</v>
      </c>
      <c r="K260" s="68">
        <f t="shared" si="340"/>
        <v>0</v>
      </c>
      <c r="L260" s="62">
        <f t="shared" si="299"/>
        <v>0</v>
      </c>
      <c r="M260" s="69">
        <f t="shared" si="355"/>
        <v>0</v>
      </c>
      <c r="P260" s="68">
        <f t="shared" si="342"/>
        <v>0</v>
      </c>
      <c r="Q260" s="62">
        <f t="shared" si="301"/>
        <v>0</v>
      </c>
      <c r="R260" s="69">
        <f t="shared" si="356"/>
        <v>0</v>
      </c>
      <c r="U260" s="68">
        <f t="shared" si="344"/>
        <v>0</v>
      </c>
      <c r="V260" s="62">
        <f t="shared" si="297"/>
        <v>0</v>
      </c>
      <c r="W260" s="69">
        <f t="shared" si="357"/>
        <v>0</v>
      </c>
      <c r="Y260" s="75">
        <f t="shared" si="375"/>
        <v>0</v>
      </c>
      <c r="AA260" s="68">
        <f t="shared" si="298"/>
        <v>0</v>
      </c>
      <c r="AB260" s="69">
        <f t="shared" si="351"/>
        <v>0</v>
      </c>
      <c r="AD260" s="75">
        <f t="shared" si="376"/>
        <v>0</v>
      </c>
    </row>
    <row r="261" spans="1:34" ht="15" customHeight="1" outlineLevel="2" x14ac:dyDescent="0.25">
      <c r="B261" s="71">
        <v>2490</v>
      </c>
      <c r="C261" s="56" t="s">
        <v>37</v>
      </c>
      <c r="E261" s="73">
        <v>97.53</v>
      </c>
      <c r="F261" s="74">
        <f t="shared" si="354"/>
        <v>128.70565152577709</v>
      </c>
      <c r="G261" s="75">
        <v>32.51</v>
      </c>
      <c r="H261" s="56" t="s">
        <v>43</v>
      </c>
      <c r="I261" s="73">
        <f t="shared" si="328"/>
        <v>3.9589557528691817</v>
      </c>
      <c r="K261" s="68">
        <f t="shared" si="340"/>
        <v>0</v>
      </c>
      <c r="L261" s="62">
        <f t="shared" si="299"/>
        <v>0</v>
      </c>
      <c r="M261" s="69">
        <f t="shared" si="355"/>
        <v>0</v>
      </c>
      <c r="P261" s="68">
        <f t="shared" si="342"/>
        <v>0</v>
      </c>
      <c r="Q261" s="62">
        <f t="shared" si="301"/>
        <v>0</v>
      </c>
      <c r="R261" s="69">
        <f t="shared" si="356"/>
        <v>0</v>
      </c>
      <c r="U261" s="68">
        <f t="shared" si="344"/>
        <v>0</v>
      </c>
      <c r="V261" s="62">
        <f t="shared" ref="V261:V324" si="377">+AA261-U261</f>
        <v>0</v>
      </c>
      <c r="W261" s="69">
        <f t="shared" si="357"/>
        <v>0</v>
      </c>
      <c r="Y261" s="75">
        <f t="shared" si="375"/>
        <v>0</v>
      </c>
      <c r="AA261" s="68">
        <f t="shared" ref="AA261:AA324" si="378">+AF261-Z261</f>
        <v>0</v>
      </c>
      <c r="AB261" s="69">
        <f t="shared" si="351"/>
        <v>0</v>
      </c>
      <c r="AD261" s="75">
        <f t="shared" si="376"/>
        <v>0</v>
      </c>
    </row>
    <row r="262" spans="1:34" ht="15" customHeight="1" outlineLevel="2" x14ac:dyDescent="0.25">
      <c r="B262" s="71">
        <v>2150</v>
      </c>
      <c r="C262" s="56" t="s">
        <v>38</v>
      </c>
      <c r="E262" s="73">
        <v>211.56</v>
      </c>
      <c r="F262" s="74">
        <f t="shared" si="354"/>
        <v>279.18555969233472</v>
      </c>
      <c r="G262" s="75">
        <v>24.95</v>
      </c>
      <c r="H262" s="56" t="s">
        <v>43</v>
      </c>
      <c r="I262" s="73">
        <f t="shared" si="328"/>
        <v>11.189801991676743</v>
      </c>
      <c r="K262" s="68">
        <f t="shared" si="340"/>
        <v>0</v>
      </c>
      <c r="L262" s="62">
        <f t="shared" si="299"/>
        <v>0</v>
      </c>
      <c r="M262" s="69">
        <f t="shared" si="355"/>
        <v>0</v>
      </c>
      <c r="P262" s="68">
        <f t="shared" si="342"/>
        <v>0</v>
      </c>
      <c r="Q262" s="62">
        <f t="shared" si="301"/>
        <v>0</v>
      </c>
      <c r="R262" s="69">
        <f t="shared" si="356"/>
        <v>0</v>
      </c>
      <c r="U262" s="68">
        <f t="shared" si="344"/>
        <v>0</v>
      </c>
      <c r="V262" s="62">
        <f t="shared" si="377"/>
        <v>0</v>
      </c>
      <c r="W262" s="69">
        <f t="shared" si="357"/>
        <v>0</v>
      </c>
      <c r="Y262" s="75">
        <f t="shared" si="375"/>
        <v>0</v>
      </c>
      <c r="AA262" s="68">
        <f t="shared" si="378"/>
        <v>0</v>
      </c>
      <c r="AB262" s="69">
        <f t="shared" si="351"/>
        <v>0</v>
      </c>
      <c r="AD262" s="75">
        <f t="shared" si="376"/>
        <v>0</v>
      </c>
    </row>
    <row r="263" spans="1:34" ht="15" customHeight="1" outlineLevel="2" x14ac:dyDescent="0.25">
      <c r="B263" s="71">
        <v>2490</v>
      </c>
      <c r="C263" s="56" t="s">
        <v>37</v>
      </c>
      <c r="E263" s="73">
        <v>74.86</v>
      </c>
      <c r="F263" s="74">
        <f t="shared" si="354"/>
        <v>98.789142553262309</v>
      </c>
      <c r="G263" s="75">
        <v>24.95</v>
      </c>
      <c r="H263" s="56" t="s">
        <v>43</v>
      </c>
      <c r="I263" s="73">
        <f t="shared" si="328"/>
        <v>3.9594846714734393</v>
      </c>
      <c r="K263" s="68">
        <f t="shared" si="340"/>
        <v>0</v>
      </c>
      <c r="L263" s="62">
        <f t="shared" ref="L263:L326" si="379">+Q263-K263</f>
        <v>0</v>
      </c>
      <c r="M263" s="69">
        <f t="shared" si="355"/>
        <v>0</v>
      </c>
      <c r="P263" s="68">
        <f t="shared" si="342"/>
        <v>0</v>
      </c>
      <c r="Q263" s="62">
        <f t="shared" ref="Q263:Q326" si="380">+V263-P263</f>
        <v>0</v>
      </c>
      <c r="R263" s="69">
        <f t="shared" si="356"/>
        <v>0</v>
      </c>
      <c r="U263" s="68">
        <f t="shared" si="344"/>
        <v>0</v>
      </c>
      <c r="V263" s="62">
        <f t="shared" si="377"/>
        <v>0</v>
      </c>
      <c r="W263" s="69">
        <f t="shared" si="357"/>
        <v>0</v>
      </c>
      <c r="Y263" s="75">
        <f t="shared" si="375"/>
        <v>0</v>
      </c>
      <c r="AA263" s="68">
        <f t="shared" si="378"/>
        <v>0</v>
      </c>
      <c r="AB263" s="69">
        <f t="shared" si="351"/>
        <v>0</v>
      </c>
      <c r="AD263" s="75">
        <f t="shared" si="376"/>
        <v>0</v>
      </c>
    </row>
    <row r="264" spans="1:34" ht="15" customHeight="1" outlineLevel="1" x14ac:dyDescent="0.25">
      <c r="A264" s="67"/>
      <c r="B264" s="66"/>
      <c r="C264" s="67" t="s">
        <v>195</v>
      </c>
      <c r="D264" s="68"/>
      <c r="E264" s="68">
        <v>65685.78</v>
      </c>
      <c r="F264" s="68">
        <f t="shared" si="354"/>
        <v>86682.365537566482</v>
      </c>
      <c r="G264" s="69">
        <v>1100</v>
      </c>
      <c r="H264" s="67" t="s">
        <v>40</v>
      </c>
      <c r="I264" s="68">
        <f t="shared" si="328"/>
        <v>78.802150488696796</v>
      </c>
      <c r="J264" s="69"/>
      <c r="K264" s="68">
        <f t="shared" si="340"/>
        <v>0</v>
      </c>
      <c r="L264" s="62">
        <f t="shared" si="379"/>
        <v>86682.365537566482</v>
      </c>
      <c r="M264" s="69">
        <f t="shared" si="355"/>
        <v>1100</v>
      </c>
      <c r="N264" s="70">
        <f t="shared" ref="N264" si="381">100%-(L264/$F264)</f>
        <v>0</v>
      </c>
      <c r="O264" s="69"/>
      <c r="P264" s="68">
        <f t="shared" si="342"/>
        <v>0</v>
      </c>
      <c r="Q264" s="62">
        <f t="shared" si="380"/>
        <v>86682.365537566482</v>
      </c>
      <c r="R264" s="69">
        <f t="shared" si="356"/>
        <v>1100</v>
      </c>
      <c r="S264" s="70">
        <f t="shared" ref="S264" si="382">100%-(Q264/$F264)</f>
        <v>0</v>
      </c>
      <c r="T264" s="69"/>
      <c r="U264" s="68">
        <f t="shared" si="344"/>
        <v>0</v>
      </c>
      <c r="V264" s="62">
        <f t="shared" si="377"/>
        <v>86682.365537566482</v>
      </c>
      <c r="W264" s="69">
        <f t="shared" si="357"/>
        <v>1100</v>
      </c>
      <c r="X264" s="70">
        <f t="shared" ref="X264" si="383">100%-(V264/$F264)</f>
        <v>0</v>
      </c>
      <c r="Y264" s="69"/>
      <c r="Z264" s="68">
        <f>Y264*D264</f>
        <v>0</v>
      </c>
      <c r="AA264" s="68">
        <f t="shared" si="378"/>
        <v>86682.365537566482</v>
      </c>
      <c r="AB264" s="69">
        <f t="shared" si="351"/>
        <v>1100</v>
      </c>
      <c r="AC264" s="70">
        <f t="shared" ref="AC264" si="384">100%-(AA264/$F264)</f>
        <v>0</v>
      </c>
      <c r="AD264" s="69"/>
      <c r="AE264" s="68">
        <f>AD264*I264</f>
        <v>0</v>
      </c>
      <c r="AF264" s="68">
        <f>F264-AE264</f>
        <v>86682.365537566482</v>
      </c>
      <c r="AG264" s="69">
        <f>G264-AD264</f>
        <v>1100</v>
      </c>
      <c r="AH264" s="70">
        <f t="shared" ref="AH264" si="385">100%-(AF264/$F264)</f>
        <v>0</v>
      </c>
    </row>
    <row r="265" spans="1:34" ht="15" customHeight="1" outlineLevel="2" x14ac:dyDescent="0.25">
      <c r="B265" s="71">
        <v>6008</v>
      </c>
      <c r="C265" s="56" t="s">
        <v>66</v>
      </c>
      <c r="E265" s="73">
        <v>30517.84</v>
      </c>
      <c r="F265" s="74">
        <f t="shared" si="354"/>
        <v>40272.926077713746</v>
      </c>
      <c r="G265" s="75">
        <v>1100</v>
      </c>
      <c r="H265" s="56" t="s">
        <v>40</v>
      </c>
      <c r="I265" s="73">
        <f t="shared" si="328"/>
        <v>36.611750979739767</v>
      </c>
      <c r="K265" s="68">
        <f t="shared" si="340"/>
        <v>0</v>
      </c>
      <c r="L265" s="62">
        <f t="shared" si="379"/>
        <v>0</v>
      </c>
      <c r="M265" s="69">
        <f t="shared" si="355"/>
        <v>0</v>
      </c>
      <c r="P265" s="68">
        <f t="shared" si="342"/>
        <v>0</v>
      </c>
      <c r="Q265" s="62">
        <f t="shared" si="380"/>
        <v>0</v>
      </c>
      <c r="R265" s="69">
        <f t="shared" si="356"/>
        <v>0</v>
      </c>
      <c r="U265" s="68">
        <f t="shared" si="344"/>
        <v>0</v>
      </c>
      <c r="V265" s="62">
        <f t="shared" si="377"/>
        <v>0</v>
      </c>
      <c r="W265" s="69">
        <f t="shared" si="357"/>
        <v>0</v>
      </c>
      <c r="Y265" s="75">
        <f t="shared" ref="Y265:Y274" si="386">$AD$264*B265/$G$264</f>
        <v>0</v>
      </c>
      <c r="AA265" s="68">
        <f t="shared" si="378"/>
        <v>0</v>
      </c>
      <c r="AB265" s="69">
        <f t="shared" si="351"/>
        <v>0</v>
      </c>
      <c r="AD265" s="75">
        <f t="shared" ref="AD265:AD274" si="387">$AD$264*G265/$G$264</f>
        <v>0</v>
      </c>
    </row>
    <row r="266" spans="1:34" ht="15" customHeight="1" outlineLevel="2" x14ac:dyDescent="0.25">
      <c r="B266" s="71">
        <v>2180</v>
      </c>
      <c r="C266" s="56" t="s">
        <v>50</v>
      </c>
      <c r="E266" s="73">
        <v>4809.42</v>
      </c>
      <c r="F266" s="74">
        <f t="shared" si="354"/>
        <v>6346.7603256547</v>
      </c>
      <c r="G266" s="75">
        <v>534.38</v>
      </c>
      <c r="H266" s="56" t="s">
        <v>43</v>
      </c>
      <c r="I266" s="73">
        <f t="shared" si="328"/>
        <v>11.876867258607545</v>
      </c>
      <c r="K266" s="68">
        <f t="shared" si="340"/>
        <v>0</v>
      </c>
      <c r="L266" s="62">
        <f t="shared" si="379"/>
        <v>0</v>
      </c>
      <c r="M266" s="69">
        <f t="shared" si="355"/>
        <v>0</v>
      </c>
      <c r="P266" s="68">
        <f t="shared" si="342"/>
        <v>0</v>
      </c>
      <c r="Q266" s="62">
        <f t="shared" si="380"/>
        <v>0</v>
      </c>
      <c r="R266" s="69">
        <f t="shared" si="356"/>
        <v>0</v>
      </c>
      <c r="U266" s="68">
        <f t="shared" si="344"/>
        <v>0</v>
      </c>
      <c r="V266" s="62">
        <f t="shared" si="377"/>
        <v>0</v>
      </c>
      <c r="W266" s="69">
        <f t="shared" si="357"/>
        <v>0</v>
      </c>
      <c r="Y266" s="75">
        <f t="shared" si="386"/>
        <v>0</v>
      </c>
      <c r="AA266" s="68">
        <f t="shared" si="378"/>
        <v>0</v>
      </c>
      <c r="AB266" s="69">
        <f t="shared" si="351"/>
        <v>0</v>
      </c>
      <c r="AD266" s="75">
        <f t="shared" si="387"/>
        <v>0</v>
      </c>
    </row>
    <row r="267" spans="1:34" ht="15" customHeight="1" outlineLevel="2" x14ac:dyDescent="0.25">
      <c r="B267" s="71">
        <v>2149</v>
      </c>
      <c r="C267" s="56" t="s">
        <v>48</v>
      </c>
      <c r="E267" s="73">
        <v>4530.6099999999997</v>
      </c>
      <c r="F267" s="74">
        <f t="shared" si="354"/>
        <v>5978.8281745022141</v>
      </c>
      <c r="G267" s="75">
        <v>534.38</v>
      </c>
      <c r="H267" s="56" t="s">
        <v>43</v>
      </c>
      <c r="I267" s="73">
        <f t="shared" si="328"/>
        <v>11.188345698757839</v>
      </c>
      <c r="K267" s="68">
        <f t="shared" si="340"/>
        <v>0</v>
      </c>
      <c r="L267" s="62">
        <f t="shared" si="379"/>
        <v>0</v>
      </c>
      <c r="M267" s="69">
        <f t="shared" si="355"/>
        <v>0</v>
      </c>
      <c r="P267" s="68">
        <f t="shared" si="342"/>
        <v>0</v>
      </c>
      <c r="Q267" s="62">
        <f t="shared" si="380"/>
        <v>0</v>
      </c>
      <c r="R267" s="69">
        <f t="shared" si="356"/>
        <v>0</v>
      </c>
      <c r="U267" s="68">
        <f t="shared" si="344"/>
        <v>0</v>
      </c>
      <c r="V267" s="62">
        <f t="shared" si="377"/>
        <v>0</v>
      </c>
      <c r="W267" s="69">
        <f t="shared" si="357"/>
        <v>0</v>
      </c>
      <c r="Y267" s="75">
        <f t="shared" si="386"/>
        <v>0</v>
      </c>
      <c r="AA267" s="68">
        <f t="shared" si="378"/>
        <v>0</v>
      </c>
      <c r="AB267" s="69">
        <f t="shared" si="351"/>
        <v>0</v>
      </c>
      <c r="AD267" s="75">
        <f t="shared" si="387"/>
        <v>0</v>
      </c>
    </row>
    <row r="268" spans="1:34" ht="15" customHeight="1" outlineLevel="2" x14ac:dyDescent="0.25">
      <c r="B268" s="71">
        <v>6490</v>
      </c>
      <c r="C268" s="56" t="s">
        <v>69</v>
      </c>
      <c r="E268" s="73">
        <v>1124.42</v>
      </c>
      <c r="F268" s="74">
        <f t="shared" si="354"/>
        <v>1483.8430092137219</v>
      </c>
      <c r="G268" s="75">
        <v>1100</v>
      </c>
      <c r="H268" s="56" t="s">
        <v>40</v>
      </c>
      <c r="I268" s="73">
        <f t="shared" si="328"/>
        <v>1.3489481901942926</v>
      </c>
      <c r="K268" s="68">
        <f t="shared" si="340"/>
        <v>0</v>
      </c>
      <c r="L268" s="62">
        <f t="shared" si="379"/>
        <v>0</v>
      </c>
      <c r="M268" s="69">
        <f t="shared" si="355"/>
        <v>0</v>
      </c>
      <c r="P268" s="68">
        <f t="shared" si="342"/>
        <v>0</v>
      </c>
      <c r="Q268" s="62">
        <f t="shared" si="380"/>
        <v>0</v>
      </c>
      <c r="R268" s="69">
        <f t="shared" si="356"/>
        <v>0</v>
      </c>
      <c r="U268" s="68">
        <f t="shared" si="344"/>
        <v>0</v>
      </c>
      <c r="V268" s="62">
        <f t="shared" si="377"/>
        <v>0</v>
      </c>
      <c r="W268" s="69">
        <f t="shared" si="357"/>
        <v>0</v>
      </c>
      <c r="Y268" s="75">
        <f t="shared" si="386"/>
        <v>0</v>
      </c>
      <c r="AA268" s="68">
        <f t="shared" si="378"/>
        <v>0</v>
      </c>
      <c r="AB268" s="69">
        <f t="shared" si="351"/>
        <v>0</v>
      </c>
      <c r="AD268" s="75">
        <f t="shared" si="387"/>
        <v>0</v>
      </c>
    </row>
    <row r="269" spans="1:34" ht="15" customHeight="1" outlineLevel="2" x14ac:dyDescent="0.25">
      <c r="B269" s="71">
        <v>2172</v>
      </c>
      <c r="C269" s="56" t="s">
        <v>133</v>
      </c>
      <c r="E269" s="73">
        <v>6072.15</v>
      </c>
      <c r="F269" s="74">
        <f t="shared" si="354"/>
        <v>8013.1243915948671</v>
      </c>
      <c r="G269" s="75">
        <v>696.67</v>
      </c>
      <c r="H269" s="56" t="s">
        <v>43</v>
      </c>
      <c r="I269" s="73">
        <f t="shared" si="328"/>
        <v>11.50203739445486</v>
      </c>
      <c r="K269" s="68">
        <f t="shared" si="340"/>
        <v>0</v>
      </c>
      <c r="L269" s="62">
        <f t="shared" si="379"/>
        <v>0</v>
      </c>
      <c r="M269" s="69">
        <f t="shared" si="355"/>
        <v>0</v>
      </c>
      <c r="P269" s="68">
        <f t="shared" si="342"/>
        <v>0</v>
      </c>
      <c r="Q269" s="62">
        <f t="shared" si="380"/>
        <v>0</v>
      </c>
      <c r="R269" s="69">
        <f t="shared" si="356"/>
        <v>0</v>
      </c>
      <c r="U269" s="68">
        <f t="shared" si="344"/>
        <v>0</v>
      </c>
      <c r="V269" s="62">
        <f t="shared" si="377"/>
        <v>0</v>
      </c>
      <c r="W269" s="69">
        <f t="shared" si="357"/>
        <v>0</v>
      </c>
      <c r="Y269" s="75">
        <f t="shared" si="386"/>
        <v>0</v>
      </c>
      <c r="AA269" s="68">
        <f t="shared" si="378"/>
        <v>0</v>
      </c>
      <c r="AB269" s="69">
        <f t="shared" si="351"/>
        <v>0</v>
      </c>
      <c r="AD269" s="75">
        <f t="shared" si="387"/>
        <v>0</v>
      </c>
    </row>
    <row r="270" spans="1:34" ht="15" customHeight="1" outlineLevel="2" x14ac:dyDescent="0.25">
      <c r="B270" s="71">
        <v>2149</v>
      </c>
      <c r="C270" s="56" t="s">
        <v>48</v>
      </c>
      <c r="E270" s="73">
        <v>5906.52</v>
      </c>
      <c r="F270" s="74">
        <f t="shared" si="354"/>
        <v>7794.5504444789603</v>
      </c>
      <c r="G270" s="75">
        <v>696.67</v>
      </c>
      <c r="H270" s="56" t="s">
        <v>43</v>
      </c>
      <c r="I270" s="73">
        <f t="shared" si="328"/>
        <v>11.188296387786126</v>
      </c>
      <c r="K270" s="68">
        <f t="shared" si="340"/>
        <v>0</v>
      </c>
      <c r="L270" s="62">
        <f t="shared" si="379"/>
        <v>0</v>
      </c>
      <c r="M270" s="69">
        <f t="shared" si="355"/>
        <v>0</v>
      </c>
      <c r="P270" s="68">
        <f t="shared" si="342"/>
        <v>0</v>
      </c>
      <c r="Q270" s="62">
        <f t="shared" si="380"/>
        <v>0</v>
      </c>
      <c r="R270" s="69">
        <f t="shared" si="356"/>
        <v>0</v>
      </c>
      <c r="U270" s="68">
        <f t="shared" si="344"/>
        <v>0</v>
      </c>
      <c r="V270" s="62">
        <f t="shared" si="377"/>
        <v>0</v>
      </c>
      <c r="W270" s="69">
        <f t="shared" si="357"/>
        <v>0</v>
      </c>
      <c r="Y270" s="75">
        <f t="shared" si="386"/>
        <v>0</v>
      </c>
      <c r="AA270" s="68">
        <f t="shared" si="378"/>
        <v>0</v>
      </c>
      <c r="AB270" s="69">
        <f t="shared" si="351"/>
        <v>0</v>
      </c>
      <c r="AD270" s="75">
        <f t="shared" si="387"/>
        <v>0</v>
      </c>
    </row>
    <row r="271" spans="1:34" ht="15" customHeight="1" outlineLevel="2" x14ac:dyDescent="0.25">
      <c r="B271" s="71">
        <v>2150</v>
      </c>
      <c r="C271" s="56" t="s">
        <v>38</v>
      </c>
      <c r="E271" s="73">
        <v>5906.52</v>
      </c>
      <c r="F271" s="74">
        <f t="shared" si="354"/>
        <v>7794.5504444789603</v>
      </c>
      <c r="G271" s="75">
        <v>696.67</v>
      </c>
      <c r="H271" s="56" t="s">
        <v>43</v>
      </c>
      <c r="I271" s="73">
        <f t="shared" si="328"/>
        <v>11.188296387786126</v>
      </c>
      <c r="K271" s="68">
        <f t="shared" si="340"/>
        <v>0</v>
      </c>
      <c r="L271" s="62">
        <f t="shared" si="379"/>
        <v>0</v>
      </c>
      <c r="M271" s="69">
        <f t="shared" si="355"/>
        <v>0</v>
      </c>
      <c r="P271" s="68">
        <f t="shared" si="342"/>
        <v>0</v>
      </c>
      <c r="Q271" s="62">
        <f t="shared" si="380"/>
        <v>0</v>
      </c>
      <c r="R271" s="69">
        <f t="shared" si="356"/>
        <v>0</v>
      </c>
      <c r="U271" s="68">
        <f t="shared" si="344"/>
        <v>0</v>
      </c>
      <c r="V271" s="62">
        <f t="shared" si="377"/>
        <v>0</v>
      </c>
      <c r="W271" s="69">
        <f t="shared" si="357"/>
        <v>0</v>
      </c>
      <c r="Y271" s="75">
        <f t="shared" si="386"/>
        <v>0</v>
      </c>
      <c r="AA271" s="68">
        <f t="shared" si="378"/>
        <v>0</v>
      </c>
      <c r="AB271" s="69">
        <f t="shared" si="351"/>
        <v>0</v>
      </c>
      <c r="AD271" s="75">
        <f t="shared" si="387"/>
        <v>0</v>
      </c>
    </row>
    <row r="272" spans="1:34" ht="15" customHeight="1" outlineLevel="2" x14ac:dyDescent="0.25">
      <c r="B272" s="71">
        <v>2490</v>
      </c>
      <c r="C272" s="56" t="s">
        <v>37</v>
      </c>
      <c r="E272" s="73">
        <v>2090</v>
      </c>
      <c r="F272" s="74">
        <f t="shared" si="354"/>
        <v>2758.0725078321966</v>
      </c>
      <c r="G272" s="75">
        <v>696.67</v>
      </c>
      <c r="H272" s="56" t="s">
        <v>43</v>
      </c>
      <c r="I272" s="73">
        <f t="shared" si="328"/>
        <v>3.9589368105877916</v>
      </c>
      <c r="K272" s="68">
        <f t="shared" si="340"/>
        <v>0</v>
      </c>
      <c r="L272" s="62">
        <f t="shared" si="379"/>
        <v>0</v>
      </c>
      <c r="M272" s="69">
        <f t="shared" si="355"/>
        <v>0</v>
      </c>
      <c r="P272" s="68">
        <f t="shared" si="342"/>
        <v>0</v>
      </c>
      <c r="Q272" s="62">
        <f t="shared" si="380"/>
        <v>0</v>
      </c>
      <c r="R272" s="69">
        <f t="shared" si="356"/>
        <v>0</v>
      </c>
      <c r="U272" s="68">
        <f t="shared" si="344"/>
        <v>0</v>
      </c>
      <c r="V272" s="62">
        <f t="shared" si="377"/>
        <v>0</v>
      </c>
      <c r="W272" s="69">
        <f t="shared" si="357"/>
        <v>0</v>
      </c>
      <c r="Y272" s="75">
        <f t="shared" si="386"/>
        <v>0</v>
      </c>
      <c r="AA272" s="68">
        <f t="shared" si="378"/>
        <v>0</v>
      </c>
      <c r="AB272" s="69">
        <f t="shared" si="351"/>
        <v>0</v>
      </c>
      <c r="AD272" s="75">
        <f t="shared" si="387"/>
        <v>0</v>
      </c>
    </row>
    <row r="273" spans="1:34" ht="15" customHeight="1" outlineLevel="2" x14ac:dyDescent="0.25">
      <c r="B273" s="71">
        <v>2150</v>
      </c>
      <c r="C273" s="56" t="s">
        <v>38</v>
      </c>
      <c r="E273" s="73">
        <v>3492.49</v>
      </c>
      <c r="F273" s="74">
        <f t="shared" si="354"/>
        <v>4608.871125779362</v>
      </c>
      <c r="G273" s="75">
        <v>411.93</v>
      </c>
      <c r="H273" s="56" t="s">
        <v>43</v>
      </c>
      <c r="I273" s="73">
        <f t="shared" si="328"/>
        <v>11.188481357947618</v>
      </c>
      <c r="K273" s="68">
        <f t="shared" si="340"/>
        <v>0</v>
      </c>
      <c r="L273" s="62">
        <f t="shared" si="379"/>
        <v>0</v>
      </c>
      <c r="M273" s="69">
        <f t="shared" si="355"/>
        <v>0</v>
      </c>
      <c r="P273" s="68">
        <f t="shared" si="342"/>
        <v>0</v>
      </c>
      <c r="Q273" s="62">
        <f t="shared" si="380"/>
        <v>0</v>
      </c>
      <c r="R273" s="69">
        <f t="shared" si="356"/>
        <v>0</v>
      </c>
      <c r="U273" s="68">
        <f t="shared" si="344"/>
        <v>0</v>
      </c>
      <c r="V273" s="62">
        <f t="shared" si="377"/>
        <v>0</v>
      </c>
      <c r="W273" s="69">
        <f t="shared" si="357"/>
        <v>0</v>
      </c>
      <c r="Y273" s="75">
        <f t="shared" si="386"/>
        <v>0</v>
      </c>
      <c r="AA273" s="68">
        <f t="shared" si="378"/>
        <v>0</v>
      </c>
      <c r="AB273" s="69">
        <f t="shared" si="351"/>
        <v>0</v>
      </c>
      <c r="AD273" s="75">
        <f t="shared" si="387"/>
        <v>0</v>
      </c>
    </row>
    <row r="274" spans="1:34" ht="15" customHeight="1" outlineLevel="2" x14ac:dyDescent="0.25">
      <c r="B274" s="71">
        <v>2490</v>
      </c>
      <c r="C274" s="56" t="s">
        <v>37</v>
      </c>
      <c r="E274" s="73">
        <v>1235.8</v>
      </c>
      <c r="F274" s="74">
        <f t="shared" si="354"/>
        <v>1630.8258397985783</v>
      </c>
      <c r="G274" s="75">
        <v>411.93</v>
      </c>
      <c r="H274" s="56" t="s">
        <v>43</v>
      </c>
      <c r="I274" s="73">
        <f t="shared" si="328"/>
        <v>3.9589877886985123</v>
      </c>
      <c r="K274" s="68">
        <f t="shared" si="340"/>
        <v>0</v>
      </c>
      <c r="L274" s="62">
        <f t="shared" si="379"/>
        <v>0</v>
      </c>
      <c r="M274" s="69">
        <f t="shared" si="355"/>
        <v>0</v>
      </c>
      <c r="P274" s="68">
        <f t="shared" si="342"/>
        <v>0</v>
      </c>
      <c r="Q274" s="62">
        <f t="shared" si="380"/>
        <v>0</v>
      </c>
      <c r="R274" s="69">
        <f t="shared" si="356"/>
        <v>0</v>
      </c>
      <c r="U274" s="68">
        <f t="shared" si="344"/>
        <v>0</v>
      </c>
      <c r="V274" s="62">
        <f t="shared" si="377"/>
        <v>0</v>
      </c>
      <c r="W274" s="69">
        <f t="shared" si="357"/>
        <v>0</v>
      </c>
      <c r="Y274" s="75">
        <f t="shared" si="386"/>
        <v>0</v>
      </c>
      <c r="AA274" s="68">
        <f t="shared" si="378"/>
        <v>0</v>
      </c>
      <c r="AB274" s="69">
        <f t="shared" si="351"/>
        <v>0</v>
      </c>
      <c r="AD274" s="75">
        <f t="shared" si="387"/>
        <v>0</v>
      </c>
    </row>
    <row r="275" spans="1:34" ht="15" customHeight="1" outlineLevel="1" x14ac:dyDescent="0.25">
      <c r="A275" s="67"/>
      <c r="B275" s="66"/>
      <c r="C275" s="67" t="s">
        <v>196</v>
      </c>
      <c r="D275" s="68"/>
      <c r="E275" s="68">
        <v>10347.84</v>
      </c>
      <c r="F275" s="68">
        <f t="shared" si="354"/>
        <v>13655.546899256611</v>
      </c>
      <c r="G275" s="69">
        <v>169</v>
      </c>
      <c r="H275" s="67" t="s">
        <v>40</v>
      </c>
      <c r="I275" s="68">
        <f t="shared" si="328"/>
        <v>80.802052658323149</v>
      </c>
      <c r="J275" s="69"/>
      <c r="K275" s="68">
        <f t="shared" si="340"/>
        <v>0</v>
      </c>
      <c r="L275" s="62">
        <f t="shared" si="379"/>
        <v>13655.546899256611</v>
      </c>
      <c r="M275" s="69">
        <f t="shared" si="355"/>
        <v>169</v>
      </c>
      <c r="N275" s="70">
        <f t="shared" ref="N275" si="388">100%-(L275/$F275)</f>
        <v>0</v>
      </c>
      <c r="O275" s="69"/>
      <c r="P275" s="68">
        <f t="shared" si="342"/>
        <v>0</v>
      </c>
      <c r="Q275" s="62">
        <f t="shared" si="380"/>
        <v>13655.546899256611</v>
      </c>
      <c r="R275" s="69">
        <f t="shared" si="356"/>
        <v>169</v>
      </c>
      <c r="S275" s="70">
        <f t="shared" ref="S275" si="389">100%-(Q275/$F275)</f>
        <v>0</v>
      </c>
      <c r="T275" s="69"/>
      <c r="U275" s="68">
        <f t="shared" si="344"/>
        <v>0</v>
      </c>
      <c r="V275" s="62">
        <f t="shared" si="377"/>
        <v>13655.546899256611</v>
      </c>
      <c r="W275" s="69">
        <f t="shared" si="357"/>
        <v>169</v>
      </c>
      <c r="X275" s="70">
        <f t="shared" ref="X275" si="390">100%-(V275/$F275)</f>
        <v>0</v>
      </c>
      <c r="Y275" s="69"/>
      <c r="Z275" s="68">
        <f>Y275*D275</f>
        <v>0</v>
      </c>
      <c r="AA275" s="68">
        <f t="shared" si="378"/>
        <v>13655.546899256611</v>
      </c>
      <c r="AB275" s="69">
        <f t="shared" si="351"/>
        <v>169</v>
      </c>
      <c r="AC275" s="70">
        <f t="shared" ref="AC275" si="391">100%-(AA275/$F275)</f>
        <v>0</v>
      </c>
      <c r="AD275" s="69"/>
      <c r="AE275" s="68">
        <f>AD275*I275</f>
        <v>0</v>
      </c>
      <c r="AF275" s="68">
        <f>F275-AE275</f>
        <v>13655.546899256611</v>
      </c>
      <c r="AG275" s="69">
        <f>G275-AD275</f>
        <v>169</v>
      </c>
      <c r="AH275" s="70">
        <f t="shared" ref="AH275" si="392">100%-(AF275/$F275)</f>
        <v>0</v>
      </c>
    </row>
    <row r="276" spans="1:34" ht="15" customHeight="1" outlineLevel="2" x14ac:dyDescent="0.25">
      <c r="B276" s="71">
        <v>6010</v>
      </c>
      <c r="C276" s="56" t="s">
        <v>197</v>
      </c>
      <c r="E276" s="73">
        <v>4688.6499999999996</v>
      </c>
      <c r="F276" s="74">
        <f t="shared" si="354"/>
        <v>6187.3859635633626</v>
      </c>
      <c r="G276" s="75">
        <v>169</v>
      </c>
      <c r="H276" s="56" t="s">
        <v>40</v>
      </c>
      <c r="I276" s="73">
        <f t="shared" si="328"/>
        <v>36.611751263688539</v>
      </c>
      <c r="K276" s="68">
        <f t="shared" si="340"/>
        <v>0</v>
      </c>
      <c r="L276" s="62">
        <f t="shared" si="379"/>
        <v>0</v>
      </c>
      <c r="M276" s="69">
        <f t="shared" si="355"/>
        <v>0</v>
      </c>
      <c r="P276" s="68">
        <f t="shared" si="342"/>
        <v>0</v>
      </c>
      <c r="Q276" s="62">
        <f t="shared" si="380"/>
        <v>0</v>
      </c>
      <c r="R276" s="69">
        <f t="shared" si="356"/>
        <v>0</v>
      </c>
      <c r="U276" s="68">
        <f t="shared" si="344"/>
        <v>0</v>
      </c>
      <c r="V276" s="62">
        <f t="shared" si="377"/>
        <v>0</v>
      </c>
      <c r="W276" s="69">
        <f t="shared" si="357"/>
        <v>0</v>
      </c>
      <c r="Y276" s="75">
        <f t="shared" ref="Y276:Y285" si="393">$AD$275*B276/$G$275</f>
        <v>0</v>
      </c>
      <c r="AA276" s="68">
        <f t="shared" si="378"/>
        <v>0</v>
      </c>
      <c r="AB276" s="69">
        <f t="shared" si="351"/>
        <v>0</v>
      </c>
      <c r="AD276" s="75">
        <f t="shared" ref="AD276:AD285" si="394">$AD$275*G276/$G$275</f>
        <v>0</v>
      </c>
    </row>
    <row r="277" spans="1:34" ht="15" customHeight="1" outlineLevel="2" x14ac:dyDescent="0.25">
      <c r="B277" s="71">
        <v>2180</v>
      </c>
      <c r="C277" s="56" t="s">
        <v>50</v>
      </c>
      <c r="E277" s="73">
        <v>816.32</v>
      </c>
      <c r="F277" s="74">
        <f t="shared" si="354"/>
        <v>1077.258253394057</v>
      </c>
      <c r="G277" s="75">
        <v>90.7</v>
      </c>
      <c r="H277" s="56" t="s">
        <v>43</v>
      </c>
      <c r="I277" s="73">
        <f t="shared" si="328"/>
        <v>11.877158251312645</v>
      </c>
      <c r="K277" s="68">
        <f t="shared" si="340"/>
        <v>0</v>
      </c>
      <c r="L277" s="62">
        <f t="shared" si="379"/>
        <v>0</v>
      </c>
      <c r="M277" s="69">
        <f t="shared" si="355"/>
        <v>0</v>
      </c>
      <c r="P277" s="68">
        <f t="shared" si="342"/>
        <v>0</v>
      </c>
      <c r="Q277" s="62">
        <f t="shared" si="380"/>
        <v>0</v>
      </c>
      <c r="R277" s="69">
        <f t="shared" si="356"/>
        <v>0</v>
      </c>
      <c r="U277" s="68">
        <f t="shared" si="344"/>
        <v>0</v>
      </c>
      <c r="V277" s="62">
        <f t="shared" si="377"/>
        <v>0</v>
      </c>
      <c r="W277" s="69">
        <f t="shared" si="357"/>
        <v>0</v>
      </c>
      <c r="Y277" s="75">
        <f t="shared" si="393"/>
        <v>0</v>
      </c>
      <c r="AA277" s="68">
        <f t="shared" si="378"/>
        <v>0</v>
      </c>
      <c r="AB277" s="69">
        <f t="shared" si="351"/>
        <v>0</v>
      </c>
      <c r="AD277" s="75">
        <f t="shared" si="394"/>
        <v>0</v>
      </c>
    </row>
    <row r="278" spans="1:34" ht="15" customHeight="1" outlineLevel="2" x14ac:dyDescent="0.25">
      <c r="B278" s="71">
        <v>2149</v>
      </c>
      <c r="C278" s="56" t="s">
        <v>48</v>
      </c>
      <c r="E278" s="73">
        <v>769</v>
      </c>
      <c r="F278" s="74">
        <f t="shared" si="354"/>
        <v>1014.8123246521336</v>
      </c>
      <c r="G278" s="75">
        <v>90.7</v>
      </c>
      <c r="H278" s="56" t="s">
        <v>43</v>
      </c>
      <c r="I278" s="73">
        <f t="shared" si="328"/>
        <v>11.188669511048882</v>
      </c>
      <c r="K278" s="68">
        <f t="shared" si="340"/>
        <v>0</v>
      </c>
      <c r="L278" s="62">
        <f t="shared" si="379"/>
        <v>0</v>
      </c>
      <c r="M278" s="69">
        <f t="shared" si="355"/>
        <v>0</v>
      </c>
      <c r="P278" s="68">
        <f t="shared" si="342"/>
        <v>0</v>
      </c>
      <c r="Q278" s="62">
        <f t="shared" si="380"/>
        <v>0</v>
      </c>
      <c r="R278" s="69">
        <f t="shared" si="356"/>
        <v>0</v>
      </c>
      <c r="U278" s="68">
        <f t="shared" si="344"/>
        <v>0</v>
      </c>
      <c r="V278" s="62">
        <f t="shared" si="377"/>
        <v>0</v>
      </c>
      <c r="W278" s="69">
        <f t="shared" si="357"/>
        <v>0</v>
      </c>
      <c r="Y278" s="75">
        <f t="shared" si="393"/>
        <v>0</v>
      </c>
      <c r="AA278" s="68">
        <f t="shared" si="378"/>
        <v>0</v>
      </c>
      <c r="AB278" s="69">
        <f t="shared" si="351"/>
        <v>0</v>
      </c>
      <c r="AD278" s="75">
        <f t="shared" si="394"/>
        <v>0</v>
      </c>
    </row>
    <row r="279" spans="1:34" ht="15" customHeight="1" outlineLevel="2" x14ac:dyDescent="0.25">
      <c r="B279" s="71">
        <v>6490</v>
      </c>
      <c r="C279" s="56" t="s">
        <v>69</v>
      </c>
      <c r="E279" s="73">
        <v>173.74</v>
      </c>
      <c r="F279" s="74">
        <f t="shared" si="354"/>
        <v>229.27632416783055</v>
      </c>
      <c r="G279" s="75">
        <v>169</v>
      </c>
      <c r="H279" s="56" t="s">
        <v>40</v>
      </c>
      <c r="I279" s="73">
        <f t="shared" si="328"/>
        <v>1.3566646400463347</v>
      </c>
      <c r="K279" s="68">
        <f t="shared" si="340"/>
        <v>0</v>
      </c>
      <c r="L279" s="62">
        <f t="shared" si="379"/>
        <v>0</v>
      </c>
      <c r="M279" s="69">
        <f t="shared" si="355"/>
        <v>0</v>
      </c>
      <c r="P279" s="68">
        <f t="shared" si="342"/>
        <v>0</v>
      </c>
      <c r="Q279" s="62">
        <f t="shared" si="380"/>
        <v>0</v>
      </c>
      <c r="R279" s="69">
        <f t="shared" si="356"/>
        <v>0</v>
      </c>
      <c r="U279" s="68">
        <f t="shared" si="344"/>
        <v>0</v>
      </c>
      <c r="V279" s="62">
        <f t="shared" si="377"/>
        <v>0</v>
      </c>
      <c r="W279" s="69">
        <f t="shared" si="357"/>
        <v>0</v>
      </c>
      <c r="Y279" s="75">
        <f t="shared" si="393"/>
        <v>0</v>
      </c>
      <c r="AA279" s="68">
        <f t="shared" si="378"/>
        <v>0</v>
      </c>
      <c r="AB279" s="69">
        <f t="shared" si="351"/>
        <v>0</v>
      </c>
      <c r="AD279" s="75">
        <f t="shared" si="394"/>
        <v>0</v>
      </c>
    </row>
    <row r="280" spans="1:34" ht="15" customHeight="1" outlineLevel="2" x14ac:dyDescent="0.25">
      <c r="B280" s="71">
        <v>2172</v>
      </c>
      <c r="C280" s="56" t="s">
        <v>133</v>
      </c>
      <c r="E280" s="73">
        <v>932.9</v>
      </c>
      <c r="F280" s="74">
        <f t="shared" si="354"/>
        <v>1231.1032739505531</v>
      </c>
      <c r="G280" s="75">
        <v>107.03</v>
      </c>
      <c r="H280" s="56" t="s">
        <v>43</v>
      </c>
      <c r="I280" s="73">
        <f t="shared" si="328"/>
        <v>11.502413098669093</v>
      </c>
      <c r="K280" s="68">
        <f t="shared" si="340"/>
        <v>0</v>
      </c>
      <c r="L280" s="62">
        <f t="shared" si="379"/>
        <v>0</v>
      </c>
      <c r="M280" s="69">
        <f t="shared" si="355"/>
        <v>0</v>
      </c>
      <c r="P280" s="68">
        <f t="shared" si="342"/>
        <v>0</v>
      </c>
      <c r="Q280" s="62">
        <f t="shared" si="380"/>
        <v>0</v>
      </c>
      <c r="R280" s="69">
        <f t="shared" si="356"/>
        <v>0</v>
      </c>
      <c r="U280" s="68">
        <f t="shared" si="344"/>
        <v>0</v>
      </c>
      <c r="V280" s="62">
        <f t="shared" si="377"/>
        <v>0</v>
      </c>
      <c r="W280" s="69">
        <f t="shared" si="357"/>
        <v>0</v>
      </c>
      <c r="Y280" s="75">
        <f t="shared" si="393"/>
        <v>0</v>
      </c>
      <c r="AA280" s="68">
        <f t="shared" si="378"/>
        <v>0</v>
      </c>
      <c r="AB280" s="69">
        <f t="shared" si="351"/>
        <v>0</v>
      </c>
      <c r="AD280" s="75">
        <f t="shared" si="394"/>
        <v>0</v>
      </c>
    </row>
    <row r="281" spans="1:34" ht="15" customHeight="1" outlineLevel="2" x14ac:dyDescent="0.25">
      <c r="B281" s="71">
        <v>2149</v>
      </c>
      <c r="C281" s="56" t="s">
        <v>48</v>
      </c>
      <c r="E281" s="73">
        <v>907.46</v>
      </c>
      <c r="F281" s="74">
        <f t="shared" si="354"/>
        <v>1197.5313291662226</v>
      </c>
      <c r="G281" s="75">
        <v>107.03</v>
      </c>
      <c r="H281" s="56" t="s">
        <v>43</v>
      </c>
      <c r="I281" s="73">
        <f t="shared" si="328"/>
        <v>11.188744549810544</v>
      </c>
      <c r="K281" s="68">
        <f t="shared" si="340"/>
        <v>0</v>
      </c>
      <c r="L281" s="62">
        <f t="shared" si="379"/>
        <v>0</v>
      </c>
      <c r="M281" s="69">
        <f t="shared" si="355"/>
        <v>0</v>
      </c>
      <c r="P281" s="68">
        <f t="shared" si="342"/>
        <v>0</v>
      </c>
      <c r="Q281" s="62">
        <f t="shared" si="380"/>
        <v>0</v>
      </c>
      <c r="R281" s="69">
        <f t="shared" si="356"/>
        <v>0</v>
      </c>
      <c r="U281" s="68">
        <f t="shared" si="344"/>
        <v>0</v>
      </c>
      <c r="V281" s="62">
        <f t="shared" si="377"/>
        <v>0</v>
      </c>
      <c r="W281" s="69">
        <f t="shared" si="357"/>
        <v>0</v>
      </c>
      <c r="Y281" s="75">
        <f t="shared" si="393"/>
        <v>0</v>
      </c>
      <c r="AA281" s="68">
        <f t="shared" si="378"/>
        <v>0</v>
      </c>
      <c r="AB281" s="69">
        <f t="shared" si="351"/>
        <v>0</v>
      </c>
      <c r="AD281" s="75">
        <f t="shared" si="394"/>
        <v>0</v>
      </c>
    </row>
    <row r="282" spans="1:34" ht="15" customHeight="1" outlineLevel="2" x14ac:dyDescent="0.25">
      <c r="B282" s="71">
        <v>2150</v>
      </c>
      <c r="C282" s="56" t="s">
        <v>38</v>
      </c>
      <c r="E282" s="73">
        <v>907.46</v>
      </c>
      <c r="F282" s="74">
        <f t="shared" si="354"/>
        <v>1197.5313291662226</v>
      </c>
      <c r="G282" s="75">
        <v>107.03</v>
      </c>
      <c r="H282" s="56" t="s">
        <v>43</v>
      </c>
      <c r="I282" s="73">
        <f t="shared" si="328"/>
        <v>11.188744549810544</v>
      </c>
      <c r="K282" s="68">
        <f t="shared" si="340"/>
        <v>0</v>
      </c>
      <c r="L282" s="62">
        <f t="shared" si="379"/>
        <v>0</v>
      </c>
      <c r="M282" s="69">
        <f t="shared" si="355"/>
        <v>0</v>
      </c>
      <c r="P282" s="68">
        <f t="shared" si="342"/>
        <v>0</v>
      </c>
      <c r="Q282" s="62">
        <f t="shared" si="380"/>
        <v>0</v>
      </c>
      <c r="R282" s="69">
        <f t="shared" si="356"/>
        <v>0</v>
      </c>
      <c r="U282" s="68">
        <f t="shared" si="344"/>
        <v>0</v>
      </c>
      <c r="V282" s="62">
        <f t="shared" si="377"/>
        <v>0</v>
      </c>
      <c r="W282" s="69">
        <f t="shared" si="357"/>
        <v>0</v>
      </c>
      <c r="Y282" s="75">
        <f t="shared" si="393"/>
        <v>0</v>
      </c>
      <c r="AA282" s="68">
        <f t="shared" si="378"/>
        <v>0</v>
      </c>
      <c r="AB282" s="69">
        <f t="shared" si="351"/>
        <v>0</v>
      </c>
      <c r="AD282" s="75">
        <f t="shared" si="394"/>
        <v>0</v>
      </c>
    </row>
    <row r="283" spans="1:34" ht="15" customHeight="1" outlineLevel="2" x14ac:dyDescent="0.25">
      <c r="B283" s="71">
        <v>2490</v>
      </c>
      <c r="C283" s="56" t="s">
        <v>37</v>
      </c>
      <c r="E283" s="73">
        <v>321.10000000000002</v>
      </c>
      <c r="F283" s="74">
        <f t="shared" si="354"/>
        <v>423.74023074876476</v>
      </c>
      <c r="G283" s="75">
        <v>107.03</v>
      </c>
      <c r="H283" s="56" t="s">
        <v>43</v>
      </c>
      <c r="I283" s="73">
        <f t="shared" si="328"/>
        <v>3.9590790502547395</v>
      </c>
      <c r="K283" s="68">
        <f t="shared" si="340"/>
        <v>0</v>
      </c>
      <c r="L283" s="62">
        <f t="shared" si="379"/>
        <v>0</v>
      </c>
      <c r="M283" s="69">
        <f t="shared" si="355"/>
        <v>0</v>
      </c>
      <c r="P283" s="68">
        <f t="shared" si="342"/>
        <v>0</v>
      </c>
      <c r="Q283" s="62">
        <f t="shared" si="380"/>
        <v>0</v>
      </c>
      <c r="R283" s="69">
        <f t="shared" si="356"/>
        <v>0</v>
      </c>
      <c r="U283" s="68">
        <f t="shared" si="344"/>
        <v>0</v>
      </c>
      <c r="V283" s="62">
        <f t="shared" si="377"/>
        <v>0</v>
      </c>
      <c r="W283" s="69">
        <f t="shared" si="357"/>
        <v>0</v>
      </c>
      <c r="Y283" s="75">
        <f t="shared" si="393"/>
        <v>0</v>
      </c>
      <c r="AA283" s="68">
        <f t="shared" si="378"/>
        <v>0</v>
      </c>
      <c r="AB283" s="69">
        <f t="shared" si="351"/>
        <v>0</v>
      </c>
      <c r="AD283" s="75">
        <f t="shared" si="394"/>
        <v>0</v>
      </c>
    </row>
    <row r="284" spans="1:34" ht="15" customHeight="1" outlineLevel="2" x14ac:dyDescent="0.25">
      <c r="B284" s="71">
        <v>2150</v>
      </c>
      <c r="C284" s="56" t="s">
        <v>38</v>
      </c>
      <c r="E284" s="73">
        <v>613.96</v>
      </c>
      <c r="F284" s="74">
        <f t="shared" si="354"/>
        <v>810.21349134385434</v>
      </c>
      <c r="G284" s="75">
        <v>72.42</v>
      </c>
      <c r="H284" s="56" t="s">
        <v>43</v>
      </c>
      <c r="I284" s="73">
        <f t="shared" si="328"/>
        <v>11.187703553491499</v>
      </c>
      <c r="K284" s="68">
        <f t="shared" si="340"/>
        <v>0</v>
      </c>
      <c r="L284" s="62">
        <f t="shared" si="379"/>
        <v>0</v>
      </c>
      <c r="M284" s="69">
        <f t="shared" si="355"/>
        <v>0</v>
      </c>
      <c r="P284" s="68">
        <f t="shared" si="342"/>
        <v>0</v>
      </c>
      <c r="Q284" s="62">
        <f t="shared" si="380"/>
        <v>0</v>
      </c>
      <c r="R284" s="69">
        <f t="shared" si="356"/>
        <v>0</v>
      </c>
      <c r="U284" s="68">
        <f t="shared" si="344"/>
        <v>0</v>
      </c>
      <c r="V284" s="62">
        <f t="shared" si="377"/>
        <v>0</v>
      </c>
      <c r="W284" s="69">
        <f t="shared" si="357"/>
        <v>0</v>
      </c>
      <c r="Y284" s="75">
        <f t="shared" si="393"/>
        <v>0</v>
      </c>
      <c r="AA284" s="68">
        <f t="shared" si="378"/>
        <v>0</v>
      </c>
      <c r="AB284" s="69">
        <f t="shared" si="351"/>
        <v>0</v>
      </c>
      <c r="AD284" s="75">
        <f t="shared" si="394"/>
        <v>0</v>
      </c>
    </row>
    <row r="285" spans="1:34" ht="15" customHeight="1" outlineLevel="2" x14ac:dyDescent="0.25">
      <c r="B285" s="71">
        <v>2490</v>
      </c>
      <c r="C285" s="56" t="s">
        <v>37</v>
      </c>
      <c r="E285" s="73">
        <v>217.25</v>
      </c>
      <c r="F285" s="74">
        <f t="shared" si="354"/>
        <v>286.69437910360989</v>
      </c>
      <c r="G285" s="75">
        <v>72.42</v>
      </c>
      <c r="H285" s="56" t="s">
        <v>43</v>
      </c>
      <c r="I285" s="73">
        <f t="shared" si="328"/>
        <v>3.9587735308424454</v>
      </c>
      <c r="K285" s="68">
        <f t="shared" si="340"/>
        <v>0</v>
      </c>
      <c r="L285" s="62">
        <f t="shared" si="379"/>
        <v>0</v>
      </c>
      <c r="M285" s="69">
        <f t="shared" si="355"/>
        <v>0</v>
      </c>
      <c r="P285" s="68">
        <f t="shared" si="342"/>
        <v>0</v>
      </c>
      <c r="Q285" s="62">
        <f t="shared" si="380"/>
        <v>0</v>
      </c>
      <c r="R285" s="69">
        <f t="shared" si="356"/>
        <v>0</v>
      </c>
      <c r="U285" s="68">
        <f t="shared" si="344"/>
        <v>0</v>
      </c>
      <c r="V285" s="62">
        <f t="shared" si="377"/>
        <v>0</v>
      </c>
      <c r="W285" s="69">
        <f t="shared" si="357"/>
        <v>0</v>
      </c>
      <c r="Y285" s="75">
        <f t="shared" si="393"/>
        <v>0</v>
      </c>
      <c r="AA285" s="68">
        <f t="shared" si="378"/>
        <v>0</v>
      </c>
      <c r="AB285" s="69">
        <f t="shared" si="351"/>
        <v>0</v>
      </c>
      <c r="AD285" s="75">
        <f t="shared" si="394"/>
        <v>0</v>
      </c>
    </row>
    <row r="286" spans="1:34" ht="15" customHeight="1" outlineLevel="1" x14ac:dyDescent="0.25">
      <c r="A286" s="67"/>
      <c r="B286" s="66"/>
      <c r="C286" s="67" t="s">
        <v>198</v>
      </c>
      <c r="D286" s="68"/>
      <c r="E286" s="68">
        <v>1429.11</v>
      </c>
      <c r="F286" s="68">
        <f t="shared" si="354"/>
        <v>1885.9277519942918</v>
      </c>
      <c r="G286" s="69">
        <v>2</v>
      </c>
      <c r="H286" s="67" t="s">
        <v>39</v>
      </c>
      <c r="I286" s="68">
        <f t="shared" si="328"/>
        <v>942.96387599714592</v>
      </c>
      <c r="J286" s="69"/>
      <c r="K286" s="68">
        <f t="shared" si="340"/>
        <v>0</v>
      </c>
      <c r="L286" s="62">
        <f t="shared" si="379"/>
        <v>1885.9277519942918</v>
      </c>
      <c r="M286" s="69">
        <f t="shared" si="355"/>
        <v>2</v>
      </c>
      <c r="N286" s="70">
        <f t="shared" ref="N286" si="395">100%-(L286/$F286)</f>
        <v>0</v>
      </c>
      <c r="O286" s="69"/>
      <c r="P286" s="68">
        <f t="shared" si="342"/>
        <v>0</v>
      </c>
      <c r="Q286" s="62">
        <f t="shared" si="380"/>
        <v>1885.9277519942918</v>
      </c>
      <c r="R286" s="69">
        <f t="shared" si="356"/>
        <v>2</v>
      </c>
      <c r="S286" s="70">
        <f t="shared" ref="S286" si="396">100%-(Q286/$F286)</f>
        <v>0</v>
      </c>
      <c r="T286" s="69"/>
      <c r="U286" s="68">
        <f t="shared" si="344"/>
        <v>0</v>
      </c>
      <c r="V286" s="62">
        <f t="shared" si="377"/>
        <v>1885.9277519942918</v>
      </c>
      <c r="W286" s="69">
        <f t="shared" si="357"/>
        <v>2</v>
      </c>
      <c r="X286" s="70">
        <f t="shared" ref="X286" si="397">100%-(V286/$F286)</f>
        <v>0</v>
      </c>
      <c r="Y286" s="69"/>
      <c r="Z286" s="68">
        <f>Y286*D286</f>
        <v>0</v>
      </c>
      <c r="AA286" s="68">
        <f t="shared" si="378"/>
        <v>1885.9277519942918</v>
      </c>
      <c r="AB286" s="69">
        <f t="shared" si="351"/>
        <v>2</v>
      </c>
      <c r="AC286" s="70">
        <f t="shared" ref="AC286" si="398">100%-(AA286/$F286)</f>
        <v>0</v>
      </c>
      <c r="AD286" s="69"/>
      <c r="AE286" s="68">
        <f>AD286*I286</f>
        <v>0</v>
      </c>
      <c r="AF286" s="68">
        <f>F286-AE286</f>
        <v>1885.9277519942918</v>
      </c>
      <c r="AG286" s="69">
        <f>G286-AD286</f>
        <v>2</v>
      </c>
      <c r="AH286" s="70">
        <f t="shared" ref="AH286" si="399">100%-(AF286/$F286)</f>
        <v>0</v>
      </c>
    </row>
    <row r="287" spans="1:34" ht="15" customHeight="1" outlineLevel="2" x14ac:dyDescent="0.25">
      <c r="B287" s="71">
        <v>6410</v>
      </c>
      <c r="C287" s="56" t="s">
        <v>99</v>
      </c>
      <c r="E287" s="73">
        <v>192.33</v>
      </c>
      <c r="F287" s="74">
        <f t="shared" si="354"/>
        <v>253.80865331644324</v>
      </c>
      <c r="G287" s="75">
        <v>2</v>
      </c>
      <c r="H287" s="56" t="s">
        <v>39</v>
      </c>
      <c r="I287" s="73">
        <f t="shared" si="328"/>
        <v>126.90432665822162</v>
      </c>
      <c r="K287" s="68">
        <f t="shared" si="340"/>
        <v>0</v>
      </c>
      <c r="L287" s="62">
        <f t="shared" si="379"/>
        <v>0</v>
      </c>
      <c r="M287" s="69">
        <f t="shared" si="355"/>
        <v>0</v>
      </c>
      <c r="P287" s="68">
        <f t="shared" si="342"/>
        <v>0</v>
      </c>
      <c r="Q287" s="62">
        <f t="shared" si="380"/>
        <v>0</v>
      </c>
      <c r="R287" s="69">
        <f t="shared" si="356"/>
        <v>0</v>
      </c>
      <c r="U287" s="68">
        <f t="shared" si="344"/>
        <v>0</v>
      </c>
      <c r="V287" s="62">
        <f t="shared" si="377"/>
        <v>0</v>
      </c>
      <c r="W287" s="69">
        <f t="shared" si="357"/>
        <v>0</v>
      </c>
      <c r="Y287" s="75">
        <f>$AD$286*B287/$G$286</f>
        <v>0</v>
      </c>
      <c r="AA287" s="68">
        <f t="shared" si="378"/>
        <v>0</v>
      </c>
      <c r="AB287" s="69">
        <f t="shared" si="351"/>
        <v>0</v>
      </c>
      <c r="AD287" s="75">
        <f>$AD$286*G287/$G$286</f>
        <v>0</v>
      </c>
    </row>
    <row r="288" spans="1:34" ht="15" customHeight="1" outlineLevel="2" x14ac:dyDescent="0.25">
      <c r="B288" s="71">
        <v>6480</v>
      </c>
      <c r="C288" s="56" t="s">
        <v>96</v>
      </c>
      <c r="E288" s="73">
        <v>673.6</v>
      </c>
      <c r="F288" s="74">
        <f t="shared" si="354"/>
        <v>888.91753171089363</v>
      </c>
      <c r="G288" s="75">
        <v>2</v>
      </c>
      <c r="H288" s="56" t="s">
        <v>39</v>
      </c>
      <c r="I288" s="73">
        <f t="shared" si="328"/>
        <v>444.45876585544681</v>
      </c>
      <c r="K288" s="68">
        <f t="shared" si="340"/>
        <v>0</v>
      </c>
      <c r="L288" s="62">
        <f t="shared" si="379"/>
        <v>0</v>
      </c>
      <c r="M288" s="69">
        <f t="shared" si="355"/>
        <v>0</v>
      </c>
      <c r="P288" s="68">
        <f t="shared" si="342"/>
        <v>0</v>
      </c>
      <c r="Q288" s="62">
        <f t="shared" si="380"/>
        <v>0</v>
      </c>
      <c r="R288" s="69">
        <f t="shared" si="356"/>
        <v>0</v>
      </c>
      <c r="U288" s="68">
        <f t="shared" si="344"/>
        <v>0</v>
      </c>
      <c r="V288" s="62">
        <f t="shared" si="377"/>
        <v>0</v>
      </c>
      <c r="W288" s="69">
        <f t="shared" si="357"/>
        <v>0</v>
      </c>
      <c r="Y288" s="75">
        <f>$AD$286*B288/$G$286</f>
        <v>0</v>
      </c>
      <c r="AA288" s="68">
        <f t="shared" si="378"/>
        <v>0</v>
      </c>
      <c r="AB288" s="69">
        <f t="shared" si="351"/>
        <v>0</v>
      </c>
      <c r="AD288" s="75">
        <f>$AD$286*G288/$G$286</f>
        <v>0</v>
      </c>
    </row>
    <row r="289" spans="1:34" ht="15" customHeight="1" outlineLevel="2" x14ac:dyDescent="0.25">
      <c r="B289" s="71">
        <v>6415</v>
      </c>
      <c r="C289" s="56" t="s">
        <v>100</v>
      </c>
      <c r="E289" s="73">
        <v>563.17999999999995</v>
      </c>
      <c r="F289" s="74">
        <f t="shared" si="354"/>
        <v>743.20156696695517</v>
      </c>
      <c r="G289" s="75">
        <v>2</v>
      </c>
      <c r="H289" s="56" t="s">
        <v>39</v>
      </c>
      <c r="I289" s="73">
        <f t="shared" si="328"/>
        <v>371.60078348347758</v>
      </c>
      <c r="K289" s="68">
        <f t="shared" si="340"/>
        <v>0</v>
      </c>
      <c r="L289" s="62">
        <f t="shared" si="379"/>
        <v>0</v>
      </c>
      <c r="M289" s="69">
        <f t="shared" si="355"/>
        <v>0</v>
      </c>
      <c r="P289" s="68">
        <f t="shared" si="342"/>
        <v>0</v>
      </c>
      <c r="Q289" s="62">
        <f t="shared" si="380"/>
        <v>0</v>
      </c>
      <c r="R289" s="69">
        <f t="shared" si="356"/>
        <v>0</v>
      </c>
      <c r="U289" s="68">
        <f t="shared" si="344"/>
        <v>0</v>
      </c>
      <c r="V289" s="62">
        <f t="shared" si="377"/>
        <v>0</v>
      </c>
      <c r="W289" s="69">
        <f t="shared" si="357"/>
        <v>0</v>
      </c>
      <c r="Y289" s="75">
        <f>$AD$286*B289/$G$286</f>
        <v>0</v>
      </c>
      <c r="AA289" s="68">
        <f t="shared" si="378"/>
        <v>0</v>
      </c>
      <c r="AB289" s="69">
        <f t="shared" si="351"/>
        <v>0</v>
      </c>
      <c r="AD289" s="75">
        <f>$AD$286*G289/$G$286</f>
        <v>0</v>
      </c>
    </row>
    <row r="290" spans="1:34" ht="15" customHeight="1" outlineLevel="1" x14ac:dyDescent="0.25">
      <c r="A290" s="67"/>
      <c r="B290" s="66"/>
      <c r="C290" s="67" t="s">
        <v>199</v>
      </c>
      <c r="D290" s="68"/>
      <c r="E290" s="68">
        <v>599.76</v>
      </c>
      <c r="F290" s="68">
        <f t="shared" si="354"/>
        <v>791.47443411360678</v>
      </c>
      <c r="G290" s="69">
        <v>1</v>
      </c>
      <c r="H290" s="67" t="s">
        <v>39</v>
      </c>
      <c r="I290" s="68">
        <f t="shared" ref="I290:I361" si="400">F290/G290</f>
        <v>791.47443411360678</v>
      </c>
      <c r="J290" s="69"/>
      <c r="K290" s="68">
        <f t="shared" si="340"/>
        <v>0</v>
      </c>
      <c r="L290" s="62">
        <f t="shared" si="379"/>
        <v>791.47443411360678</v>
      </c>
      <c r="M290" s="69">
        <f t="shared" si="355"/>
        <v>1</v>
      </c>
      <c r="N290" s="70">
        <f t="shared" ref="N290" si="401">100%-(L290/$F290)</f>
        <v>0</v>
      </c>
      <c r="O290" s="69"/>
      <c r="P290" s="68">
        <f t="shared" si="342"/>
        <v>0</v>
      </c>
      <c r="Q290" s="62">
        <f t="shared" si="380"/>
        <v>791.47443411360678</v>
      </c>
      <c r="R290" s="69">
        <f t="shared" si="356"/>
        <v>1</v>
      </c>
      <c r="S290" s="70">
        <f t="shared" ref="S290" si="402">100%-(Q290/$F290)</f>
        <v>0</v>
      </c>
      <c r="T290" s="69"/>
      <c r="U290" s="68">
        <f t="shared" si="344"/>
        <v>0</v>
      </c>
      <c r="V290" s="62">
        <f t="shared" si="377"/>
        <v>791.47443411360678</v>
      </c>
      <c r="W290" s="69">
        <f t="shared" si="357"/>
        <v>1</v>
      </c>
      <c r="X290" s="70">
        <f t="shared" ref="X290" si="403">100%-(V290/$F290)</f>
        <v>0</v>
      </c>
      <c r="Y290" s="69"/>
      <c r="Z290" s="68">
        <f>Y290*D290</f>
        <v>0</v>
      </c>
      <c r="AA290" s="68">
        <f t="shared" si="378"/>
        <v>791.47443411360678</v>
      </c>
      <c r="AB290" s="69">
        <f t="shared" si="351"/>
        <v>1</v>
      </c>
      <c r="AC290" s="70">
        <f t="shared" ref="AC290" si="404">100%-(AA290/$F290)</f>
        <v>0</v>
      </c>
      <c r="AD290" s="69"/>
      <c r="AE290" s="68">
        <f>AD290*I290</f>
        <v>0</v>
      </c>
      <c r="AF290" s="68">
        <f>F290-AE290</f>
        <v>791.47443411360678</v>
      </c>
      <c r="AG290" s="69">
        <f>G290-AD290</f>
        <v>1</v>
      </c>
      <c r="AH290" s="70">
        <f t="shared" ref="AH290" si="405">100%-(AF290/$F290)</f>
        <v>0</v>
      </c>
    </row>
    <row r="291" spans="1:34" ht="15" customHeight="1" outlineLevel="2" x14ac:dyDescent="0.25">
      <c r="B291" s="71">
        <v>6410</v>
      </c>
      <c r="C291" s="56" t="s">
        <v>99</v>
      </c>
      <c r="E291" s="73">
        <v>96.17</v>
      </c>
      <c r="F291" s="74">
        <f t="shared" si="354"/>
        <v>126.91092491780974</v>
      </c>
      <c r="G291" s="75">
        <v>1</v>
      </c>
      <c r="H291" s="56" t="s">
        <v>39</v>
      </c>
      <c r="I291" s="73">
        <f t="shared" si="400"/>
        <v>126.91092491780974</v>
      </c>
      <c r="K291" s="68">
        <f t="shared" si="340"/>
        <v>0</v>
      </c>
      <c r="L291" s="62">
        <f t="shared" si="379"/>
        <v>0</v>
      </c>
      <c r="M291" s="69">
        <f t="shared" si="355"/>
        <v>0</v>
      </c>
      <c r="P291" s="68">
        <f t="shared" si="342"/>
        <v>0</v>
      </c>
      <c r="Q291" s="62">
        <f t="shared" si="380"/>
        <v>0</v>
      </c>
      <c r="R291" s="69">
        <f t="shared" si="356"/>
        <v>0</v>
      </c>
      <c r="U291" s="68">
        <f t="shared" si="344"/>
        <v>0</v>
      </c>
      <c r="V291" s="62">
        <f t="shared" si="377"/>
        <v>0</v>
      </c>
      <c r="W291" s="69">
        <f t="shared" si="357"/>
        <v>0</v>
      </c>
      <c r="Y291" s="75">
        <f>$AD$290*B291/$G$290</f>
        <v>0</v>
      </c>
      <c r="AA291" s="68">
        <f t="shared" si="378"/>
        <v>0</v>
      </c>
      <c r="AB291" s="69">
        <f t="shared" si="351"/>
        <v>0</v>
      </c>
      <c r="AD291" s="75">
        <f>$AD$290*G291/$G$290</f>
        <v>0</v>
      </c>
    </row>
    <row r="292" spans="1:34" ht="15" customHeight="1" outlineLevel="2" x14ac:dyDescent="0.25">
      <c r="B292" s="71">
        <v>6480</v>
      </c>
      <c r="C292" s="56" t="s">
        <v>96</v>
      </c>
      <c r="E292" s="73">
        <v>222</v>
      </c>
      <c r="F292" s="74">
        <f t="shared" si="354"/>
        <v>292.96272571231947</v>
      </c>
      <c r="G292" s="75">
        <v>1</v>
      </c>
      <c r="H292" s="56" t="s">
        <v>34</v>
      </c>
      <c r="I292" s="73">
        <f t="shared" si="400"/>
        <v>292.96272571231947</v>
      </c>
      <c r="K292" s="68">
        <f t="shared" si="340"/>
        <v>0</v>
      </c>
      <c r="L292" s="62">
        <f t="shared" si="379"/>
        <v>0</v>
      </c>
      <c r="M292" s="69">
        <f t="shared" si="355"/>
        <v>0</v>
      </c>
      <c r="P292" s="68">
        <f t="shared" si="342"/>
        <v>0</v>
      </c>
      <c r="Q292" s="62">
        <f t="shared" si="380"/>
        <v>0</v>
      </c>
      <c r="R292" s="69">
        <f t="shared" si="356"/>
        <v>0</v>
      </c>
      <c r="U292" s="68">
        <f t="shared" si="344"/>
        <v>0</v>
      </c>
      <c r="V292" s="62">
        <f t="shared" si="377"/>
        <v>0</v>
      </c>
      <c r="W292" s="69">
        <f t="shared" si="357"/>
        <v>0</v>
      </c>
      <c r="Y292" s="75">
        <f>$AD$290*B292/$G$290</f>
        <v>0</v>
      </c>
      <c r="AA292" s="68">
        <f t="shared" si="378"/>
        <v>0</v>
      </c>
      <c r="AB292" s="69">
        <f t="shared" si="351"/>
        <v>0</v>
      </c>
      <c r="AD292" s="75">
        <f>$AD$290*G292/$G$290</f>
        <v>0</v>
      </c>
    </row>
    <row r="293" spans="1:34" ht="15" customHeight="1" outlineLevel="2" x14ac:dyDescent="0.25">
      <c r="B293" s="71">
        <v>6415</v>
      </c>
      <c r="C293" s="56" t="s">
        <v>100</v>
      </c>
      <c r="E293" s="73">
        <v>281.58999999999997</v>
      </c>
      <c r="F293" s="74">
        <f t="shared" si="354"/>
        <v>371.60078348347758</v>
      </c>
      <c r="G293" s="75">
        <v>1</v>
      </c>
      <c r="H293" s="56" t="s">
        <v>39</v>
      </c>
      <c r="I293" s="73">
        <f t="shared" si="400"/>
        <v>371.60078348347758</v>
      </c>
      <c r="K293" s="68">
        <f t="shared" si="340"/>
        <v>0</v>
      </c>
      <c r="L293" s="62">
        <f t="shared" si="379"/>
        <v>0</v>
      </c>
      <c r="M293" s="69">
        <f t="shared" si="355"/>
        <v>0</v>
      </c>
      <c r="P293" s="68">
        <f t="shared" si="342"/>
        <v>0</v>
      </c>
      <c r="Q293" s="62">
        <f t="shared" si="380"/>
        <v>0</v>
      </c>
      <c r="R293" s="69">
        <f t="shared" si="356"/>
        <v>0</v>
      </c>
      <c r="U293" s="68">
        <f t="shared" si="344"/>
        <v>0</v>
      </c>
      <c r="V293" s="62">
        <f t="shared" si="377"/>
        <v>0</v>
      </c>
      <c r="W293" s="69">
        <f t="shared" si="357"/>
        <v>0</v>
      </c>
      <c r="Y293" s="75">
        <f>$AD$290*B293/$G$290</f>
        <v>0</v>
      </c>
      <c r="AA293" s="68">
        <f t="shared" si="378"/>
        <v>0</v>
      </c>
      <c r="AB293" s="69">
        <f t="shared" si="351"/>
        <v>0</v>
      </c>
      <c r="AD293" s="75">
        <f>$AD$290*G293/$G$290</f>
        <v>0</v>
      </c>
    </row>
    <row r="294" spans="1:34" ht="15" customHeight="1" outlineLevel="1" x14ac:dyDescent="0.25">
      <c r="A294" s="67"/>
      <c r="B294" s="66"/>
      <c r="C294" s="67" t="s">
        <v>200</v>
      </c>
      <c r="D294" s="68"/>
      <c r="E294" s="68">
        <v>333.82</v>
      </c>
      <c r="F294" s="68">
        <f t="shared" si="354"/>
        <v>440.52620314093008</v>
      </c>
      <c r="G294" s="69">
        <v>1</v>
      </c>
      <c r="H294" s="67" t="s">
        <v>39</v>
      </c>
      <c r="I294" s="68">
        <f t="shared" si="400"/>
        <v>440.52620314093008</v>
      </c>
      <c r="J294" s="69"/>
      <c r="K294" s="68">
        <f t="shared" si="340"/>
        <v>0</v>
      </c>
      <c r="L294" s="62">
        <f t="shared" si="379"/>
        <v>440.52620314093008</v>
      </c>
      <c r="M294" s="69">
        <f t="shared" si="355"/>
        <v>1</v>
      </c>
      <c r="N294" s="70">
        <f t="shared" ref="N294" si="406">100%-(L294/$F294)</f>
        <v>0</v>
      </c>
      <c r="O294" s="69"/>
      <c r="P294" s="68">
        <f t="shared" si="342"/>
        <v>0</v>
      </c>
      <c r="Q294" s="62">
        <f t="shared" si="380"/>
        <v>440.52620314093008</v>
      </c>
      <c r="R294" s="69">
        <f t="shared" si="356"/>
        <v>1</v>
      </c>
      <c r="S294" s="70">
        <f t="shared" ref="S294" si="407">100%-(Q294/$F294)</f>
        <v>0</v>
      </c>
      <c r="T294" s="69"/>
      <c r="U294" s="68">
        <f t="shared" si="344"/>
        <v>0</v>
      </c>
      <c r="V294" s="62">
        <f t="shared" si="377"/>
        <v>440.52620314093008</v>
      </c>
      <c r="W294" s="69">
        <f t="shared" si="357"/>
        <v>1</v>
      </c>
      <c r="X294" s="70">
        <f t="shared" ref="X294" si="408">100%-(V294/$F294)</f>
        <v>0</v>
      </c>
      <c r="Y294" s="69"/>
      <c r="Z294" s="68">
        <f>Y294*D294</f>
        <v>0</v>
      </c>
      <c r="AA294" s="68">
        <f t="shared" si="378"/>
        <v>440.52620314093008</v>
      </c>
      <c r="AB294" s="69">
        <f t="shared" si="351"/>
        <v>1</v>
      </c>
      <c r="AC294" s="70">
        <f t="shared" ref="AC294" si="409">100%-(AA294/$F294)</f>
        <v>0</v>
      </c>
      <c r="AD294" s="69"/>
      <c r="AE294" s="68">
        <f>AD294*I294</f>
        <v>0</v>
      </c>
      <c r="AF294" s="68">
        <f>F294-AE294</f>
        <v>440.52620314093008</v>
      </c>
      <c r="AG294" s="69">
        <f>G294-AD294</f>
        <v>1</v>
      </c>
      <c r="AH294" s="70">
        <f t="shared" ref="AH294" si="410">100%-(AF294/$F294)</f>
        <v>0</v>
      </c>
    </row>
    <row r="295" spans="1:34" ht="15" customHeight="1" outlineLevel="2" x14ac:dyDescent="0.25">
      <c r="B295" s="71">
        <v>6410</v>
      </c>
      <c r="C295" s="56" t="s">
        <v>99</v>
      </c>
      <c r="E295" s="73">
        <v>120.91</v>
      </c>
      <c r="F295" s="74">
        <f t="shared" si="354"/>
        <v>159.55911335980426</v>
      </c>
      <c r="G295" s="75">
        <v>1</v>
      </c>
      <c r="H295" s="56" t="s">
        <v>39</v>
      </c>
      <c r="I295" s="73">
        <f t="shared" si="400"/>
        <v>159.55911335980426</v>
      </c>
      <c r="K295" s="68">
        <f t="shared" si="340"/>
        <v>0</v>
      </c>
      <c r="L295" s="62">
        <f t="shared" si="379"/>
        <v>0</v>
      </c>
      <c r="M295" s="69">
        <f t="shared" si="355"/>
        <v>0</v>
      </c>
      <c r="P295" s="68">
        <f t="shared" si="342"/>
        <v>0</v>
      </c>
      <c r="Q295" s="62">
        <f t="shared" si="380"/>
        <v>0</v>
      </c>
      <c r="R295" s="69">
        <f t="shared" si="356"/>
        <v>0</v>
      </c>
      <c r="U295" s="68">
        <f t="shared" si="344"/>
        <v>0</v>
      </c>
      <c r="V295" s="62">
        <f t="shared" si="377"/>
        <v>0</v>
      </c>
      <c r="W295" s="69">
        <f t="shared" si="357"/>
        <v>0</v>
      </c>
      <c r="Y295" s="75">
        <f>$AD$294*B295/$G$294</f>
        <v>0</v>
      </c>
      <c r="AA295" s="68">
        <f t="shared" si="378"/>
        <v>0</v>
      </c>
      <c r="AB295" s="69">
        <f t="shared" si="351"/>
        <v>0</v>
      </c>
      <c r="AD295" s="75">
        <f>$AD$294*G295/$G$294</f>
        <v>0</v>
      </c>
    </row>
    <row r="296" spans="1:34" ht="15" customHeight="1" outlineLevel="2" x14ac:dyDescent="0.25">
      <c r="B296" s="71">
        <v>6415</v>
      </c>
      <c r="C296" s="56" t="s">
        <v>100</v>
      </c>
      <c r="E296" s="73">
        <v>212.91</v>
      </c>
      <c r="F296" s="74">
        <f t="shared" si="354"/>
        <v>280.96708978112582</v>
      </c>
      <c r="G296" s="75">
        <v>1</v>
      </c>
      <c r="H296" s="56" t="s">
        <v>39</v>
      </c>
      <c r="I296" s="73">
        <f t="shared" si="400"/>
        <v>280.96708978112582</v>
      </c>
      <c r="K296" s="68">
        <f t="shared" si="340"/>
        <v>0</v>
      </c>
      <c r="L296" s="62">
        <f t="shared" si="379"/>
        <v>0</v>
      </c>
      <c r="M296" s="69">
        <f t="shared" si="355"/>
        <v>0</v>
      </c>
      <c r="P296" s="68">
        <f t="shared" si="342"/>
        <v>0</v>
      </c>
      <c r="Q296" s="62">
        <f t="shared" si="380"/>
        <v>0</v>
      </c>
      <c r="R296" s="69">
        <f t="shared" si="356"/>
        <v>0</v>
      </c>
      <c r="U296" s="68">
        <f t="shared" si="344"/>
        <v>0</v>
      </c>
      <c r="V296" s="62">
        <f t="shared" si="377"/>
        <v>0</v>
      </c>
      <c r="W296" s="69">
        <f t="shared" si="357"/>
        <v>0</v>
      </c>
      <c r="Y296" s="75">
        <f>$AD$294*B296/$G$294</f>
        <v>0</v>
      </c>
      <c r="AA296" s="68">
        <f t="shared" si="378"/>
        <v>0</v>
      </c>
      <c r="AB296" s="69">
        <f t="shared" si="351"/>
        <v>0</v>
      </c>
      <c r="AD296" s="75">
        <f>$AD$294*G296/$G$294</f>
        <v>0</v>
      </c>
    </row>
    <row r="297" spans="1:34" ht="15" customHeight="1" outlineLevel="1" x14ac:dyDescent="0.25">
      <c r="A297" s="67"/>
      <c r="B297" s="66"/>
      <c r="C297" s="67" t="s">
        <v>201</v>
      </c>
      <c r="D297" s="68"/>
      <c r="E297" s="68">
        <v>1393.52</v>
      </c>
      <c r="F297" s="68">
        <f t="shared" si="354"/>
        <v>1838.9613402460873</v>
      </c>
      <c r="G297" s="69">
        <v>3</v>
      </c>
      <c r="H297" s="67" t="s">
        <v>39</v>
      </c>
      <c r="I297" s="68">
        <f t="shared" si="400"/>
        <v>612.98711341536239</v>
      </c>
      <c r="J297" s="69"/>
      <c r="K297" s="68">
        <f t="shared" si="340"/>
        <v>0</v>
      </c>
      <c r="L297" s="62">
        <f t="shared" si="379"/>
        <v>1838.9613402460873</v>
      </c>
      <c r="M297" s="69">
        <f t="shared" si="355"/>
        <v>3</v>
      </c>
      <c r="N297" s="70">
        <f t="shared" ref="N297" si="411">100%-(L297/$F297)</f>
        <v>0</v>
      </c>
      <c r="O297" s="69"/>
      <c r="P297" s="68">
        <f t="shared" si="342"/>
        <v>0</v>
      </c>
      <c r="Q297" s="62">
        <f t="shared" si="380"/>
        <v>1838.9613402460873</v>
      </c>
      <c r="R297" s="69">
        <f t="shared" si="356"/>
        <v>3</v>
      </c>
      <c r="S297" s="70">
        <f t="shared" ref="S297" si="412">100%-(Q297/$F297)</f>
        <v>0</v>
      </c>
      <c r="T297" s="69"/>
      <c r="U297" s="68">
        <f t="shared" si="344"/>
        <v>0</v>
      </c>
      <c r="V297" s="62">
        <f t="shared" si="377"/>
        <v>1838.9613402460873</v>
      </c>
      <c r="W297" s="69">
        <f t="shared" si="357"/>
        <v>3</v>
      </c>
      <c r="X297" s="70">
        <f t="shared" ref="X297" si="413">100%-(V297/$F297)</f>
        <v>0</v>
      </c>
      <c r="Y297" s="69"/>
      <c r="Z297" s="68">
        <f>Y297*D297</f>
        <v>0</v>
      </c>
      <c r="AA297" s="68">
        <f t="shared" si="378"/>
        <v>1838.9613402460873</v>
      </c>
      <c r="AB297" s="69">
        <f t="shared" si="351"/>
        <v>3</v>
      </c>
      <c r="AC297" s="70">
        <f t="shared" ref="AC297" si="414">100%-(AA297/$F297)</f>
        <v>0</v>
      </c>
      <c r="AD297" s="69"/>
      <c r="AE297" s="68">
        <f>AD297*I297</f>
        <v>0</v>
      </c>
      <c r="AF297" s="68">
        <f>F297-AE297</f>
        <v>1838.9613402460873</v>
      </c>
      <c r="AG297" s="69">
        <f>G297-AD297</f>
        <v>3</v>
      </c>
      <c r="AH297" s="70">
        <f t="shared" ref="AH297" si="415">100%-(AF297/$F297)</f>
        <v>0</v>
      </c>
    </row>
    <row r="298" spans="1:34" ht="15" customHeight="1" outlineLevel="2" x14ac:dyDescent="0.25">
      <c r="B298" s="71">
        <v>6410</v>
      </c>
      <c r="C298" s="56" t="s">
        <v>99</v>
      </c>
      <c r="E298" s="73">
        <v>507.82</v>
      </c>
      <c r="F298" s="74">
        <f t="shared" si="354"/>
        <v>670.14563680734261</v>
      </c>
      <c r="G298" s="75">
        <v>3</v>
      </c>
      <c r="H298" s="56" t="s">
        <v>39</v>
      </c>
      <c r="I298" s="73">
        <f t="shared" si="400"/>
        <v>223.38187893578086</v>
      </c>
      <c r="K298" s="68">
        <f t="shared" si="340"/>
        <v>0</v>
      </c>
      <c r="L298" s="62">
        <f t="shared" si="379"/>
        <v>0</v>
      </c>
      <c r="M298" s="69">
        <f t="shared" si="355"/>
        <v>0</v>
      </c>
      <c r="P298" s="68">
        <f t="shared" si="342"/>
        <v>0</v>
      </c>
      <c r="Q298" s="62">
        <f t="shared" si="380"/>
        <v>0</v>
      </c>
      <c r="R298" s="69">
        <f t="shared" si="356"/>
        <v>0</v>
      </c>
      <c r="U298" s="68">
        <f t="shared" si="344"/>
        <v>0</v>
      </c>
      <c r="V298" s="62">
        <f t="shared" si="377"/>
        <v>0</v>
      </c>
      <c r="W298" s="69">
        <f t="shared" si="357"/>
        <v>0</v>
      </c>
      <c r="Y298" s="75">
        <f>$AD$297*B298/$G$297</f>
        <v>0</v>
      </c>
      <c r="AA298" s="68">
        <f t="shared" si="378"/>
        <v>0</v>
      </c>
      <c r="AB298" s="69">
        <f t="shared" si="351"/>
        <v>0</v>
      </c>
      <c r="AD298" s="75">
        <f>$AD$297*G298/$G$297</f>
        <v>0</v>
      </c>
    </row>
    <row r="299" spans="1:34" ht="15" customHeight="1" outlineLevel="2" x14ac:dyDescent="0.25">
      <c r="B299" s="71">
        <v>6415</v>
      </c>
      <c r="C299" s="56" t="s">
        <v>100</v>
      </c>
      <c r="E299" s="73">
        <v>885.7</v>
      </c>
      <c r="F299" s="74">
        <f t="shared" si="354"/>
        <v>1168.8157034387448</v>
      </c>
      <c r="G299" s="75">
        <v>3</v>
      </c>
      <c r="H299" s="56" t="s">
        <v>39</v>
      </c>
      <c r="I299" s="73">
        <f t="shared" si="400"/>
        <v>389.60523447958161</v>
      </c>
      <c r="K299" s="68">
        <f t="shared" ref="K299:K309" si="416">+J299*$I299</f>
        <v>0</v>
      </c>
      <c r="L299" s="62">
        <f t="shared" si="379"/>
        <v>0</v>
      </c>
      <c r="M299" s="69">
        <f t="shared" si="355"/>
        <v>0</v>
      </c>
      <c r="P299" s="68">
        <f t="shared" ref="P299:P309" si="417">+O299*$I299</f>
        <v>0</v>
      </c>
      <c r="Q299" s="62">
        <f t="shared" si="380"/>
        <v>0</v>
      </c>
      <c r="R299" s="69">
        <f t="shared" si="356"/>
        <v>0</v>
      </c>
      <c r="U299" s="68">
        <f t="shared" ref="U299:U309" si="418">+T299*$I299</f>
        <v>0</v>
      </c>
      <c r="V299" s="62">
        <f t="shared" si="377"/>
        <v>0</v>
      </c>
      <c r="W299" s="69">
        <f t="shared" si="357"/>
        <v>0</v>
      </c>
      <c r="Y299" s="75">
        <f>$AD$297*B299/$G$297</f>
        <v>0</v>
      </c>
      <c r="AA299" s="68">
        <f t="shared" si="378"/>
        <v>0</v>
      </c>
      <c r="AB299" s="69">
        <f t="shared" si="351"/>
        <v>0</v>
      </c>
      <c r="AD299" s="75">
        <f>$AD$297*G299/$G$297</f>
        <v>0</v>
      </c>
    </row>
    <row r="300" spans="1:34" ht="15" customHeight="1" outlineLevel="1" x14ac:dyDescent="0.25">
      <c r="A300" s="67"/>
      <c r="B300" s="66"/>
      <c r="C300" s="67" t="s">
        <v>202</v>
      </c>
      <c r="D300" s="68"/>
      <c r="E300" s="68">
        <v>1052.49</v>
      </c>
      <c r="F300" s="68">
        <f t="shared" si="354"/>
        <v>1388.9204467790951</v>
      </c>
      <c r="G300" s="69">
        <v>2</v>
      </c>
      <c r="H300" s="67" t="s">
        <v>39</v>
      </c>
      <c r="I300" s="68">
        <f t="shared" si="400"/>
        <v>694.46022338954754</v>
      </c>
      <c r="J300" s="69"/>
      <c r="K300" s="68">
        <f t="shared" si="416"/>
        <v>0</v>
      </c>
      <c r="L300" s="62">
        <f t="shared" si="379"/>
        <v>1388.9204467790951</v>
      </c>
      <c r="M300" s="69">
        <f t="shared" si="355"/>
        <v>2</v>
      </c>
      <c r="N300" s="70">
        <f t="shared" ref="N300" si="419">100%-(L300/$F300)</f>
        <v>0</v>
      </c>
      <c r="O300" s="69"/>
      <c r="P300" s="68">
        <f t="shared" si="417"/>
        <v>0</v>
      </c>
      <c r="Q300" s="62">
        <f t="shared" si="380"/>
        <v>1388.9204467790951</v>
      </c>
      <c r="R300" s="69">
        <f t="shared" si="356"/>
        <v>2</v>
      </c>
      <c r="S300" s="70">
        <f t="shared" ref="S300" si="420">100%-(Q300/$F300)</f>
        <v>0</v>
      </c>
      <c r="T300" s="69"/>
      <c r="U300" s="68">
        <f t="shared" si="418"/>
        <v>0</v>
      </c>
      <c r="V300" s="62">
        <f t="shared" si="377"/>
        <v>1388.9204467790951</v>
      </c>
      <c r="W300" s="69">
        <f t="shared" si="357"/>
        <v>2</v>
      </c>
      <c r="X300" s="70">
        <f t="shared" ref="X300" si="421">100%-(V300/$F300)</f>
        <v>0</v>
      </c>
      <c r="Y300" s="69"/>
      <c r="Z300" s="68">
        <f>Y300*D300</f>
        <v>0</v>
      </c>
      <c r="AA300" s="68">
        <f t="shared" si="378"/>
        <v>1388.9204467790951</v>
      </c>
      <c r="AB300" s="69">
        <f t="shared" si="351"/>
        <v>2</v>
      </c>
      <c r="AC300" s="70">
        <f t="shared" ref="AC300" si="422">100%-(AA300/$F300)</f>
        <v>0</v>
      </c>
      <c r="AD300" s="69"/>
      <c r="AE300" s="68">
        <f>AD300*I300</f>
        <v>0</v>
      </c>
      <c r="AF300" s="68">
        <f>F300-AE300</f>
        <v>1388.9204467790951</v>
      </c>
      <c r="AG300" s="69">
        <f>G300-AD300</f>
        <v>2</v>
      </c>
      <c r="AH300" s="70">
        <f t="shared" ref="AH300" si="423">100%-(AF300/$F300)</f>
        <v>0</v>
      </c>
    </row>
    <row r="301" spans="1:34" ht="15" customHeight="1" outlineLevel="2" x14ac:dyDescent="0.25">
      <c r="B301" s="71">
        <v>6410</v>
      </c>
      <c r="C301" s="56" t="s">
        <v>99</v>
      </c>
      <c r="E301" s="73">
        <v>338.55</v>
      </c>
      <c r="F301" s="74">
        <f t="shared" si="354"/>
        <v>446.76815671128719</v>
      </c>
      <c r="G301" s="75">
        <v>2</v>
      </c>
      <c r="H301" s="56" t="s">
        <v>39</v>
      </c>
      <c r="I301" s="73">
        <f t="shared" si="400"/>
        <v>223.3840783556436</v>
      </c>
      <c r="K301" s="68">
        <f t="shared" si="416"/>
        <v>0</v>
      </c>
      <c r="L301" s="62">
        <f t="shared" si="379"/>
        <v>0</v>
      </c>
      <c r="M301" s="69">
        <f t="shared" si="355"/>
        <v>0</v>
      </c>
      <c r="P301" s="68">
        <f t="shared" si="417"/>
        <v>0</v>
      </c>
      <c r="Q301" s="62">
        <f t="shared" si="380"/>
        <v>0</v>
      </c>
      <c r="R301" s="69">
        <f t="shared" si="356"/>
        <v>0</v>
      </c>
      <c r="U301" s="68">
        <f t="shared" si="418"/>
        <v>0</v>
      </c>
      <c r="V301" s="62">
        <f t="shared" si="377"/>
        <v>0</v>
      </c>
      <c r="W301" s="69">
        <f t="shared" si="357"/>
        <v>0</v>
      </c>
      <c r="Y301" s="75">
        <f>$AD$300*B301/$G$300</f>
        <v>0</v>
      </c>
      <c r="AA301" s="68">
        <f t="shared" si="378"/>
        <v>0</v>
      </c>
      <c r="AB301" s="69">
        <f t="shared" ref="AB301:AB364" si="424">+AG301-Y301</f>
        <v>0</v>
      </c>
      <c r="AD301" s="75">
        <f>$AD$300*G301/$G$300</f>
        <v>0</v>
      </c>
    </row>
    <row r="302" spans="1:34" ht="15" customHeight="1" outlineLevel="2" x14ac:dyDescent="0.25">
      <c r="B302" s="71">
        <v>6415</v>
      </c>
      <c r="C302" s="56" t="s">
        <v>100</v>
      </c>
      <c r="E302" s="73">
        <v>713.95</v>
      </c>
      <c r="F302" s="74">
        <f t="shared" ref="F302:F344" si="425">$D$107/$E$107*E302</f>
        <v>942.16548658698412</v>
      </c>
      <c r="G302" s="75">
        <v>2</v>
      </c>
      <c r="H302" s="56" t="s">
        <v>39</v>
      </c>
      <c r="I302" s="73">
        <f t="shared" si="400"/>
        <v>471.08274329349206</v>
      </c>
      <c r="K302" s="68">
        <f t="shared" si="416"/>
        <v>0</v>
      </c>
      <c r="L302" s="62">
        <f t="shared" si="379"/>
        <v>0</v>
      </c>
      <c r="M302" s="69">
        <f t="shared" ref="M302:M365" si="426">+R302-J302</f>
        <v>0</v>
      </c>
      <c r="P302" s="68">
        <f t="shared" si="417"/>
        <v>0</v>
      </c>
      <c r="Q302" s="62">
        <f t="shared" si="380"/>
        <v>0</v>
      </c>
      <c r="R302" s="69">
        <f t="shared" ref="R302:R365" si="427">+W302-O302</f>
        <v>0</v>
      </c>
      <c r="U302" s="68">
        <f t="shared" si="418"/>
        <v>0</v>
      </c>
      <c r="V302" s="62">
        <f t="shared" si="377"/>
        <v>0</v>
      </c>
      <c r="W302" s="69">
        <f t="shared" ref="W302:W365" si="428">+AB302-T302</f>
        <v>0</v>
      </c>
      <c r="Y302" s="75">
        <f>$AD$300*B302/$G$300</f>
        <v>0</v>
      </c>
      <c r="AA302" s="68">
        <f t="shared" si="378"/>
        <v>0</v>
      </c>
      <c r="AB302" s="69">
        <f t="shared" si="424"/>
        <v>0</v>
      </c>
      <c r="AD302" s="75">
        <f>$AD$300*G302/$G$300</f>
        <v>0</v>
      </c>
    </row>
    <row r="303" spans="1:34" ht="15" customHeight="1" outlineLevel="1" x14ac:dyDescent="0.25">
      <c r="A303" s="67"/>
      <c r="B303" s="66"/>
      <c r="C303" s="67" t="s">
        <v>203</v>
      </c>
      <c r="D303" s="68"/>
      <c r="E303" s="68">
        <v>1635.27</v>
      </c>
      <c r="F303" s="68">
        <f t="shared" si="425"/>
        <v>2157.9871913314623</v>
      </c>
      <c r="G303" s="69">
        <v>3</v>
      </c>
      <c r="H303" s="67" t="s">
        <v>39</v>
      </c>
      <c r="I303" s="68">
        <f t="shared" si="400"/>
        <v>719.32906377715415</v>
      </c>
      <c r="J303" s="69"/>
      <c r="K303" s="68">
        <f t="shared" si="416"/>
        <v>0</v>
      </c>
      <c r="L303" s="62">
        <f t="shared" si="379"/>
        <v>2157.9871913314623</v>
      </c>
      <c r="M303" s="69">
        <f t="shared" si="426"/>
        <v>3</v>
      </c>
      <c r="N303" s="70">
        <f t="shared" ref="N303" si="429">100%-(L303/$F303)</f>
        <v>0</v>
      </c>
      <c r="O303" s="69"/>
      <c r="P303" s="68">
        <f t="shared" si="417"/>
        <v>0</v>
      </c>
      <c r="Q303" s="62">
        <f t="shared" si="380"/>
        <v>2157.9871913314623</v>
      </c>
      <c r="R303" s="69">
        <f t="shared" si="427"/>
        <v>3</v>
      </c>
      <c r="S303" s="70">
        <f t="shared" ref="S303" si="430">100%-(Q303/$F303)</f>
        <v>0</v>
      </c>
      <c r="T303" s="69"/>
      <c r="U303" s="68">
        <f t="shared" si="418"/>
        <v>0</v>
      </c>
      <c r="V303" s="62">
        <f t="shared" si="377"/>
        <v>2157.9871913314623</v>
      </c>
      <c r="W303" s="69">
        <f t="shared" si="428"/>
        <v>3</v>
      </c>
      <c r="X303" s="70">
        <f t="shared" ref="X303" si="431">100%-(V303/$F303)</f>
        <v>0</v>
      </c>
      <c r="Y303" s="69"/>
      <c r="Z303" s="68">
        <f>Y303*D303</f>
        <v>0</v>
      </c>
      <c r="AA303" s="68">
        <f t="shared" si="378"/>
        <v>2157.9871913314623</v>
      </c>
      <c r="AB303" s="69">
        <f t="shared" si="424"/>
        <v>3</v>
      </c>
      <c r="AC303" s="70">
        <f t="shared" ref="AC303" si="432">100%-(AA303/$F303)</f>
        <v>0</v>
      </c>
      <c r="AD303" s="69"/>
      <c r="AE303" s="68">
        <f>AD303*I303</f>
        <v>0</v>
      </c>
      <c r="AF303" s="68">
        <f>F303-AE303</f>
        <v>2157.9871913314623</v>
      </c>
      <c r="AG303" s="69">
        <f>G303-AD303</f>
        <v>3</v>
      </c>
      <c r="AH303" s="70">
        <f t="shared" ref="AH303" si="433">100%-(AF303/$F303)</f>
        <v>0</v>
      </c>
    </row>
    <row r="304" spans="1:34" ht="15" customHeight="1" outlineLevel="2" x14ac:dyDescent="0.25">
      <c r="B304" s="71">
        <v>6410</v>
      </c>
      <c r="C304" s="56" t="s">
        <v>204</v>
      </c>
      <c r="E304" s="73">
        <v>435.27</v>
      </c>
      <c r="F304" s="74">
        <f t="shared" si="425"/>
        <v>574.40489018378958</v>
      </c>
      <c r="G304" s="75">
        <v>3</v>
      </c>
      <c r="H304" s="56" t="s">
        <v>39</v>
      </c>
      <c r="I304" s="73">
        <f t="shared" si="400"/>
        <v>191.46829672792987</v>
      </c>
      <c r="K304" s="68">
        <f t="shared" si="416"/>
        <v>0</v>
      </c>
      <c r="L304" s="62">
        <f t="shared" si="379"/>
        <v>0</v>
      </c>
      <c r="M304" s="69">
        <f t="shared" si="426"/>
        <v>0</v>
      </c>
      <c r="P304" s="68">
        <f t="shared" si="417"/>
        <v>0</v>
      </c>
      <c r="Q304" s="62">
        <f t="shared" si="380"/>
        <v>0</v>
      </c>
      <c r="R304" s="69">
        <f t="shared" si="427"/>
        <v>0</v>
      </c>
      <c r="U304" s="68">
        <f t="shared" si="418"/>
        <v>0</v>
      </c>
      <c r="V304" s="62">
        <f t="shared" si="377"/>
        <v>0</v>
      </c>
      <c r="W304" s="69">
        <f t="shared" si="428"/>
        <v>0</v>
      </c>
      <c r="Y304" s="75">
        <f>$AD$303*B304/$G$303</f>
        <v>0</v>
      </c>
      <c r="AA304" s="68">
        <f t="shared" si="378"/>
        <v>0</v>
      </c>
      <c r="AB304" s="69">
        <f t="shared" si="424"/>
        <v>0</v>
      </c>
      <c r="AD304" s="75">
        <f>$AD$303*G304/$G$303</f>
        <v>0</v>
      </c>
    </row>
    <row r="305" spans="1:34" ht="15" customHeight="1" outlineLevel="2" x14ac:dyDescent="0.25">
      <c r="B305" s="71">
        <v>3290</v>
      </c>
      <c r="C305" s="56" t="s">
        <v>52</v>
      </c>
      <c r="E305" s="73">
        <v>1200</v>
      </c>
      <c r="F305" s="74">
        <f t="shared" si="425"/>
        <v>1583.5823011476728</v>
      </c>
      <c r="G305" s="75">
        <v>3</v>
      </c>
      <c r="H305" s="56" t="s">
        <v>39</v>
      </c>
      <c r="I305" s="73">
        <f t="shared" si="400"/>
        <v>527.86076704922425</v>
      </c>
      <c r="K305" s="68">
        <f t="shared" si="416"/>
        <v>0</v>
      </c>
      <c r="L305" s="62">
        <f t="shared" si="379"/>
        <v>0</v>
      </c>
      <c r="M305" s="69">
        <f t="shared" si="426"/>
        <v>0</v>
      </c>
      <c r="P305" s="68">
        <f t="shared" si="417"/>
        <v>0</v>
      </c>
      <c r="Q305" s="62">
        <f t="shared" si="380"/>
        <v>0</v>
      </c>
      <c r="R305" s="69">
        <f t="shared" si="427"/>
        <v>0</v>
      </c>
      <c r="U305" s="68">
        <f t="shared" si="418"/>
        <v>0</v>
      </c>
      <c r="V305" s="62">
        <f t="shared" si="377"/>
        <v>0</v>
      </c>
      <c r="W305" s="69">
        <f t="shared" si="428"/>
        <v>0</v>
      </c>
      <c r="Y305" s="75">
        <f>$AD$303*B305/$G$303</f>
        <v>0</v>
      </c>
      <c r="AA305" s="68">
        <f t="shared" si="378"/>
        <v>0</v>
      </c>
      <c r="AB305" s="69">
        <f t="shared" si="424"/>
        <v>0</v>
      </c>
      <c r="AD305" s="75">
        <f>$AD$303*G305/$G$303</f>
        <v>0</v>
      </c>
    </row>
    <row r="306" spans="1:34" ht="15" customHeight="1" outlineLevel="1" x14ac:dyDescent="0.25">
      <c r="A306" s="67"/>
      <c r="B306" s="66"/>
      <c r="C306" s="67" t="s">
        <v>205</v>
      </c>
      <c r="D306" s="68"/>
      <c r="E306" s="68">
        <v>569.27</v>
      </c>
      <c r="F306" s="68">
        <f t="shared" si="425"/>
        <v>751.23824714527962</v>
      </c>
      <c r="G306" s="69">
        <v>1</v>
      </c>
      <c r="H306" s="67" t="s">
        <v>39</v>
      </c>
      <c r="I306" s="68">
        <f t="shared" si="400"/>
        <v>751.23824714527962</v>
      </c>
      <c r="J306" s="69"/>
      <c r="K306" s="68">
        <f t="shared" si="416"/>
        <v>0</v>
      </c>
      <c r="L306" s="62">
        <f t="shared" si="379"/>
        <v>751.23824714527962</v>
      </c>
      <c r="M306" s="69">
        <f t="shared" si="426"/>
        <v>1</v>
      </c>
      <c r="N306" s="70">
        <f t="shared" ref="N306" si="434">100%-(L306/$F306)</f>
        <v>0</v>
      </c>
      <c r="O306" s="69"/>
      <c r="P306" s="68">
        <f t="shared" si="417"/>
        <v>0</v>
      </c>
      <c r="Q306" s="62">
        <f t="shared" si="380"/>
        <v>751.23824714527962</v>
      </c>
      <c r="R306" s="69">
        <f t="shared" si="427"/>
        <v>1</v>
      </c>
      <c r="S306" s="70">
        <f t="shared" ref="S306" si="435">100%-(Q306/$F306)</f>
        <v>0</v>
      </c>
      <c r="T306" s="69"/>
      <c r="U306" s="68">
        <f t="shared" si="418"/>
        <v>0</v>
      </c>
      <c r="V306" s="62">
        <f t="shared" si="377"/>
        <v>751.23824714527962</v>
      </c>
      <c r="W306" s="69">
        <f t="shared" si="428"/>
        <v>1</v>
      </c>
      <c r="X306" s="70">
        <f t="shared" ref="X306" si="436">100%-(V306/$F306)</f>
        <v>0</v>
      </c>
      <c r="Y306" s="69"/>
      <c r="Z306" s="68">
        <f>Y306*D306</f>
        <v>0</v>
      </c>
      <c r="AA306" s="68">
        <f t="shared" si="378"/>
        <v>751.23824714527962</v>
      </c>
      <c r="AB306" s="69">
        <f t="shared" si="424"/>
        <v>1</v>
      </c>
      <c r="AC306" s="70">
        <f t="shared" ref="AC306" si="437">100%-(AA306/$F306)</f>
        <v>0</v>
      </c>
      <c r="AD306" s="69"/>
      <c r="AE306" s="68">
        <f>AD306*I306</f>
        <v>0</v>
      </c>
      <c r="AF306" s="68">
        <f>F306-AE306</f>
        <v>751.23824714527962</v>
      </c>
      <c r="AG306" s="69">
        <f>G306-AD306</f>
        <v>1</v>
      </c>
      <c r="AH306" s="70">
        <f t="shared" ref="AH306" si="438">100%-(AF306/$F306)</f>
        <v>0</v>
      </c>
    </row>
    <row r="307" spans="1:34" ht="15" customHeight="1" outlineLevel="2" x14ac:dyDescent="0.25">
      <c r="B307" s="71">
        <v>6410</v>
      </c>
      <c r="C307" s="56" t="s">
        <v>99</v>
      </c>
      <c r="E307" s="73">
        <v>169.27</v>
      </c>
      <c r="F307" s="74">
        <f t="shared" si="425"/>
        <v>223.37748009605548</v>
      </c>
      <c r="G307" s="75">
        <v>1</v>
      </c>
      <c r="H307" s="56" t="s">
        <v>39</v>
      </c>
      <c r="I307" s="73">
        <f t="shared" si="400"/>
        <v>223.37748009605548</v>
      </c>
      <c r="K307" s="68">
        <f t="shared" si="416"/>
        <v>0</v>
      </c>
      <c r="L307" s="62">
        <f t="shared" si="379"/>
        <v>0</v>
      </c>
      <c r="M307" s="69">
        <f t="shared" si="426"/>
        <v>0</v>
      </c>
      <c r="P307" s="68">
        <f t="shared" si="417"/>
        <v>0</v>
      </c>
      <c r="Q307" s="62">
        <f t="shared" si="380"/>
        <v>0</v>
      </c>
      <c r="R307" s="69">
        <f t="shared" si="427"/>
        <v>0</v>
      </c>
      <c r="U307" s="68">
        <f t="shared" si="418"/>
        <v>0</v>
      </c>
      <c r="V307" s="62">
        <f t="shared" si="377"/>
        <v>0</v>
      </c>
      <c r="W307" s="69">
        <f t="shared" si="428"/>
        <v>0</v>
      </c>
      <c r="Y307" s="75">
        <f>$AD$306*B307/$G$306</f>
        <v>0</v>
      </c>
      <c r="AA307" s="68">
        <f t="shared" si="378"/>
        <v>0</v>
      </c>
      <c r="AB307" s="69">
        <f t="shared" si="424"/>
        <v>0</v>
      </c>
      <c r="AD307" s="75">
        <f>$AD$306*G307/$G$306</f>
        <v>0</v>
      </c>
    </row>
    <row r="308" spans="1:34" ht="15" customHeight="1" outlineLevel="2" x14ac:dyDescent="0.25">
      <c r="B308" s="71">
        <v>3290</v>
      </c>
      <c r="C308" s="56" t="s">
        <v>52</v>
      </c>
      <c r="E308" s="73">
        <v>400</v>
      </c>
      <c r="F308" s="74">
        <f t="shared" si="425"/>
        <v>527.86076704922425</v>
      </c>
      <c r="G308" s="75">
        <v>1</v>
      </c>
      <c r="H308" s="56" t="s">
        <v>39</v>
      </c>
      <c r="I308" s="73">
        <f t="shared" si="400"/>
        <v>527.86076704922425</v>
      </c>
      <c r="K308" s="68">
        <f t="shared" si="416"/>
        <v>0</v>
      </c>
      <c r="L308" s="62">
        <f t="shared" si="379"/>
        <v>0</v>
      </c>
      <c r="M308" s="69">
        <f t="shared" si="426"/>
        <v>0</v>
      </c>
      <c r="P308" s="68">
        <f t="shared" si="417"/>
        <v>0</v>
      </c>
      <c r="Q308" s="62">
        <f t="shared" si="380"/>
        <v>0</v>
      </c>
      <c r="R308" s="69">
        <f t="shared" si="427"/>
        <v>0</v>
      </c>
      <c r="U308" s="68">
        <f t="shared" si="418"/>
        <v>0</v>
      </c>
      <c r="V308" s="62">
        <f t="shared" si="377"/>
        <v>0</v>
      </c>
      <c r="W308" s="69">
        <f t="shared" si="428"/>
        <v>0</v>
      </c>
      <c r="Y308" s="75">
        <f>$AD$306*B308/$G$306</f>
        <v>0</v>
      </c>
      <c r="AA308" s="68">
        <f t="shared" si="378"/>
        <v>0</v>
      </c>
      <c r="AB308" s="69">
        <f t="shared" si="424"/>
        <v>0</v>
      </c>
      <c r="AD308" s="75">
        <f>$AD$306*G308/$G$306</f>
        <v>0</v>
      </c>
    </row>
    <row r="309" spans="1:34" ht="15" customHeight="1" outlineLevel="1" x14ac:dyDescent="0.25">
      <c r="A309" s="67"/>
      <c r="B309" s="66"/>
      <c r="C309" s="67" t="s">
        <v>206</v>
      </c>
      <c r="D309" s="68"/>
      <c r="E309" s="68">
        <v>2640.02</v>
      </c>
      <c r="F309" s="68">
        <f t="shared" si="425"/>
        <v>3483.9074555632324</v>
      </c>
      <c r="G309" s="69">
        <v>2</v>
      </c>
      <c r="H309" s="67" t="s">
        <v>39</v>
      </c>
      <c r="I309" s="68">
        <f t="shared" si="400"/>
        <v>1741.9537277816162</v>
      </c>
      <c r="J309" s="69"/>
      <c r="K309" s="68">
        <f t="shared" si="416"/>
        <v>0</v>
      </c>
      <c r="L309" s="62">
        <f t="shared" si="379"/>
        <v>3483.9074555632324</v>
      </c>
      <c r="M309" s="69">
        <f t="shared" si="426"/>
        <v>2</v>
      </c>
      <c r="N309" s="70">
        <f t="shared" ref="N309" si="439">100%-(L309/$F309)</f>
        <v>0</v>
      </c>
      <c r="O309" s="69"/>
      <c r="P309" s="68">
        <f t="shared" si="417"/>
        <v>0</v>
      </c>
      <c r="Q309" s="62">
        <f t="shared" si="380"/>
        <v>3483.9074555632324</v>
      </c>
      <c r="R309" s="69">
        <f t="shared" si="427"/>
        <v>2</v>
      </c>
      <c r="S309" s="70">
        <f t="shared" ref="S309" si="440">100%-(Q309/$F309)</f>
        <v>0</v>
      </c>
      <c r="T309" s="69"/>
      <c r="U309" s="68">
        <f t="shared" si="418"/>
        <v>0</v>
      </c>
      <c r="V309" s="62">
        <f t="shared" si="377"/>
        <v>3483.9074555632324</v>
      </c>
      <c r="W309" s="69">
        <f t="shared" si="428"/>
        <v>2</v>
      </c>
      <c r="X309" s="70">
        <f t="shared" ref="X309" si="441">100%-(V309/$F309)</f>
        <v>0</v>
      </c>
      <c r="Y309" s="69"/>
      <c r="Z309" s="68">
        <f>Y309*D309</f>
        <v>0</v>
      </c>
      <c r="AA309" s="68">
        <f t="shared" si="378"/>
        <v>3483.9074555632324</v>
      </c>
      <c r="AB309" s="69">
        <f t="shared" si="424"/>
        <v>2</v>
      </c>
      <c r="AC309" s="70">
        <f t="shared" ref="AC309" si="442">100%-(AA309/$F309)</f>
        <v>0</v>
      </c>
      <c r="AD309" s="69"/>
      <c r="AE309" s="68">
        <f>AD309*I309</f>
        <v>0</v>
      </c>
      <c r="AF309" s="68">
        <f>F309-AE309</f>
        <v>3483.9074555632324</v>
      </c>
      <c r="AG309" s="69">
        <f>G309-AD309</f>
        <v>2</v>
      </c>
      <c r="AH309" s="70">
        <f t="shared" ref="AH309" si="443">100%-(AF309/$F309)</f>
        <v>0</v>
      </c>
    </row>
    <row r="310" spans="1:34" ht="15" customHeight="1" outlineLevel="2" x14ac:dyDescent="0.25">
      <c r="B310" s="71">
        <v>6420</v>
      </c>
      <c r="C310" s="56" t="s">
        <v>67</v>
      </c>
      <c r="E310" s="73">
        <v>967.27</v>
      </c>
      <c r="F310" s="74">
        <f t="shared" si="425"/>
        <v>1276.4597103592578</v>
      </c>
      <c r="G310" s="75">
        <v>2</v>
      </c>
      <c r="H310" s="56" t="s">
        <v>39</v>
      </c>
      <c r="I310" s="73">
        <f t="shared" si="400"/>
        <v>638.22985517962888</v>
      </c>
      <c r="L310" s="62">
        <f t="shared" si="379"/>
        <v>0</v>
      </c>
      <c r="M310" s="69">
        <f t="shared" si="426"/>
        <v>0</v>
      </c>
      <c r="Q310" s="62">
        <f t="shared" si="380"/>
        <v>0</v>
      </c>
      <c r="R310" s="69">
        <f t="shared" si="427"/>
        <v>0</v>
      </c>
      <c r="V310" s="62">
        <f t="shared" si="377"/>
        <v>0</v>
      </c>
      <c r="W310" s="69">
        <f t="shared" si="428"/>
        <v>0</v>
      </c>
      <c r="Y310" s="75">
        <f>$AD$309*B310/$G$309</f>
        <v>0</v>
      </c>
      <c r="AA310" s="68">
        <f t="shared" si="378"/>
        <v>0</v>
      </c>
      <c r="AB310" s="69">
        <f t="shared" si="424"/>
        <v>0</v>
      </c>
      <c r="AD310" s="75">
        <f>$AD$309*G310/$G$309</f>
        <v>0</v>
      </c>
    </row>
    <row r="311" spans="1:34" ht="15" customHeight="1" outlineLevel="2" x14ac:dyDescent="0.25">
      <c r="B311" s="71">
        <v>2185</v>
      </c>
      <c r="C311" s="56" t="s">
        <v>51</v>
      </c>
      <c r="E311" s="73">
        <v>197.5</v>
      </c>
      <c r="F311" s="74">
        <f t="shared" si="425"/>
        <v>260.63125373055448</v>
      </c>
      <c r="G311" s="75">
        <v>10</v>
      </c>
      <c r="H311" s="56" t="s">
        <v>43</v>
      </c>
      <c r="I311" s="73">
        <f t="shared" si="400"/>
        <v>26.063125373055449</v>
      </c>
      <c r="L311" s="62">
        <f t="shared" si="379"/>
        <v>0</v>
      </c>
      <c r="M311" s="69">
        <f t="shared" si="426"/>
        <v>0</v>
      </c>
      <c r="Q311" s="62">
        <f t="shared" si="380"/>
        <v>0</v>
      </c>
      <c r="R311" s="69">
        <f t="shared" si="427"/>
        <v>0</v>
      </c>
      <c r="V311" s="62">
        <f t="shared" si="377"/>
        <v>0</v>
      </c>
      <c r="W311" s="69">
        <f t="shared" si="428"/>
        <v>0</v>
      </c>
      <c r="Y311" s="75">
        <f>$AD$309*B311/$G$309</f>
        <v>0</v>
      </c>
      <c r="AA311" s="68">
        <f t="shared" si="378"/>
        <v>0</v>
      </c>
      <c r="AB311" s="69">
        <f t="shared" si="424"/>
        <v>0</v>
      </c>
      <c r="AD311" s="75">
        <f>$AD$309*G311/$G$309</f>
        <v>0</v>
      </c>
    </row>
    <row r="312" spans="1:34" ht="15" customHeight="1" outlineLevel="2" x14ac:dyDescent="0.25">
      <c r="B312" s="71">
        <v>2149</v>
      </c>
      <c r="C312" s="56" t="s">
        <v>48</v>
      </c>
      <c r="E312" s="73">
        <v>84.78</v>
      </c>
      <c r="F312" s="74">
        <f t="shared" si="425"/>
        <v>111.88008957608308</v>
      </c>
      <c r="G312" s="75">
        <v>10</v>
      </c>
      <c r="H312" s="56" t="s">
        <v>43</v>
      </c>
      <c r="I312" s="73">
        <f t="shared" si="400"/>
        <v>11.188008957608307</v>
      </c>
      <c r="L312" s="62">
        <f t="shared" si="379"/>
        <v>0</v>
      </c>
      <c r="M312" s="69">
        <f t="shared" si="426"/>
        <v>0</v>
      </c>
      <c r="Q312" s="62">
        <f t="shared" si="380"/>
        <v>0</v>
      </c>
      <c r="R312" s="69">
        <f t="shared" si="427"/>
        <v>0</v>
      </c>
      <c r="V312" s="62">
        <f t="shared" si="377"/>
        <v>0</v>
      </c>
      <c r="W312" s="69">
        <f t="shared" si="428"/>
        <v>0</v>
      </c>
      <c r="Y312" s="75">
        <f>$AD$309*B312/$G$309</f>
        <v>0</v>
      </c>
      <c r="AA312" s="68">
        <f t="shared" si="378"/>
        <v>0</v>
      </c>
      <c r="AB312" s="69">
        <f t="shared" si="424"/>
        <v>0</v>
      </c>
      <c r="AD312" s="75">
        <f>$AD$309*G312/$G$309</f>
        <v>0</v>
      </c>
    </row>
    <row r="313" spans="1:34" ht="15" customHeight="1" outlineLevel="2" x14ac:dyDescent="0.25">
      <c r="B313" s="71">
        <v>3290</v>
      </c>
      <c r="C313" s="56" t="s">
        <v>52</v>
      </c>
      <c r="E313" s="73">
        <v>800</v>
      </c>
      <c r="F313" s="74">
        <f t="shared" si="425"/>
        <v>1055.7215340984485</v>
      </c>
      <c r="G313" s="75">
        <v>2</v>
      </c>
      <c r="H313" s="56" t="s">
        <v>39</v>
      </c>
      <c r="I313" s="73">
        <f t="shared" si="400"/>
        <v>527.86076704922425</v>
      </c>
      <c r="L313" s="62">
        <f t="shared" si="379"/>
        <v>0</v>
      </c>
      <c r="M313" s="69">
        <f t="shared" si="426"/>
        <v>0</v>
      </c>
      <c r="Q313" s="62">
        <f t="shared" si="380"/>
        <v>0</v>
      </c>
      <c r="R313" s="69">
        <f t="shared" si="427"/>
        <v>0</v>
      </c>
      <c r="V313" s="62">
        <f t="shared" si="377"/>
        <v>0</v>
      </c>
      <c r="W313" s="69">
        <f t="shared" si="428"/>
        <v>0</v>
      </c>
      <c r="Y313" s="75">
        <f>$AD$309*B313/$G$309</f>
        <v>0</v>
      </c>
      <c r="AA313" s="68">
        <f t="shared" si="378"/>
        <v>0</v>
      </c>
      <c r="AB313" s="69">
        <f t="shared" si="424"/>
        <v>0</v>
      </c>
      <c r="AD313" s="75">
        <f>$AD$309*G313/$G$309</f>
        <v>0</v>
      </c>
    </row>
    <row r="314" spans="1:34" ht="15" customHeight="1" outlineLevel="2" x14ac:dyDescent="0.25">
      <c r="B314" s="71">
        <v>6415</v>
      </c>
      <c r="C314" s="56" t="s">
        <v>100</v>
      </c>
      <c r="E314" s="73">
        <v>590.47</v>
      </c>
      <c r="F314" s="74">
        <f t="shared" si="425"/>
        <v>779.21486779888858</v>
      </c>
      <c r="G314" s="75">
        <v>2</v>
      </c>
      <c r="H314" s="56" t="s">
        <v>39</v>
      </c>
      <c r="I314" s="73">
        <f t="shared" si="400"/>
        <v>389.60743389944429</v>
      </c>
      <c r="L314" s="62">
        <f t="shared" si="379"/>
        <v>0</v>
      </c>
      <c r="M314" s="69">
        <f t="shared" si="426"/>
        <v>0</v>
      </c>
      <c r="Q314" s="62">
        <f t="shared" si="380"/>
        <v>0</v>
      </c>
      <c r="R314" s="69">
        <f t="shared" si="427"/>
        <v>0</v>
      </c>
      <c r="V314" s="62">
        <f t="shared" si="377"/>
        <v>0</v>
      </c>
      <c r="W314" s="69">
        <f t="shared" si="428"/>
        <v>0</v>
      </c>
      <c r="Y314" s="75">
        <f>$AD$309*B314/$G$309</f>
        <v>0</v>
      </c>
      <c r="AA314" s="68">
        <f t="shared" si="378"/>
        <v>0</v>
      </c>
      <c r="AB314" s="69">
        <f t="shared" si="424"/>
        <v>0</v>
      </c>
      <c r="AD314" s="75">
        <f>$AD$309*G314/$G$309</f>
        <v>0</v>
      </c>
    </row>
    <row r="315" spans="1:34" ht="15" customHeight="1" outlineLevel="1" x14ac:dyDescent="0.25">
      <c r="A315" s="79"/>
      <c r="B315" s="80"/>
      <c r="C315" s="79" t="s">
        <v>207</v>
      </c>
      <c r="D315" s="81"/>
      <c r="E315" s="81">
        <v>34466.870000000003</v>
      </c>
      <c r="F315" s="81">
        <f t="shared" si="425"/>
        <v>45484.271089964743</v>
      </c>
      <c r="G315" s="82"/>
      <c r="H315" s="79"/>
      <c r="I315" s="81"/>
      <c r="J315" s="82"/>
      <c r="K315" s="81">
        <f>SUM(K316,K319,K326,K333)</f>
        <v>0</v>
      </c>
      <c r="L315" s="62">
        <f t="shared" si="379"/>
        <v>45484.284286483919</v>
      </c>
      <c r="M315" s="69">
        <f t="shared" si="426"/>
        <v>0</v>
      </c>
      <c r="N315" s="83"/>
      <c r="O315" s="82"/>
      <c r="P315" s="81">
        <f>SUM(P316,P319,P326,P333)</f>
        <v>0</v>
      </c>
      <c r="Q315" s="62">
        <f t="shared" si="380"/>
        <v>45484.284286483919</v>
      </c>
      <c r="R315" s="69">
        <f t="shared" si="427"/>
        <v>0</v>
      </c>
      <c r="S315" s="83"/>
      <c r="T315" s="82"/>
      <c r="U315" s="81">
        <f>SUM(U316,U319,U326,U333)</f>
        <v>0</v>
      </c>
      <c r="V315" s="62">
        <f t="shared" si="377"/>
        <v>45484.284286483919</v>
      </c>
      <c r="W315" s="69">
        <f t="shared" si="428"/>
        <v>0</v>
      </c>
      <c r="X315" s="83"/>
      <c r="Y315" s="82"/>
      <c r="Z315" s="81">
        <f>SUM(Z316,Z319,Z326,Z333)</f>
        <v>0</v>
      </c>
      <c r="AA315" s="68">
        <f t="shared" si="378"/>
        <v>45484.284286483919</v>
      </c>
      <c r="AB315" s="69">
        <f t="shared" si="424"/>
        <v>0</v>
      </c>
      <c r="AC315" s="83"/>
      <c r="AD315" s="82"/>
      <c r="AE315" s="81">
        <f>SUM(AE316,AE319,AE326,AE333)</f>
        <v>0</v>
      </c>
      <c r="AF315" s="81">
        <f>SUM(AF316,AF319,AF326,AF333)</f>
        <v>45484.284286483919</v>
      </c>
      <c r="AG315" s="82"/>
      <c r="AH315" s="83"/>
    </row>
    <row r="316" spans="1:34" ht="15" customHeight="1" outlineLevel="1" x14ac:dyDescent="0.25">
      <c r="A316" s="67"/>
      <c r="B316" s="66"/>
      <c r="C316" s="67" t="s">
        <v>208</v>
      </c>
      <c r="D316" s="68"/>
      <c r="E316" s="68">
        <v>4522.54</v>
      </c>
      <c r="F316" s="68">
        <f t="shared" si="425"/>
        <v>5968.1785835269966</v>
      </c>
      <c r="G316" s="69">
        <v>2</v>
      </c>
      <c r="H316" s="67" t="s">
        <v>39</v>
      </c>
      <c r="I316" s="68">
        <f t="shared" si="400"/>
        <v>2984.0892917634983</v>
      </c>
      <c r="J316" s="69"/>
      <c r="K316" s="68">
        <f t="shared" ref="K316:K333" si="444">+J316*$I316</f>
        <v>0</v>
      </c>
      <c r="L316" s="62">
        <f t="shared" si="379"/>
        <v>5968.1785835269966</v>
      </c>
      <c r="M316" s="69">
        <f t="shared" si="426"/>
        <v>2</v>
      </c>
      <c r="N316" s="70">
        <f t="shared" ref="N316" si="445">100%-(L316/$F316)</f>
        <v>0</v>
      </c>
      <c r="O316" s="69"/>
      <c r="P316" s="68">
        <f t="shared" ref="P316:P333" si="446">+O316*$I316</f>
        <v>0</v>
      </c>
      <c r="Q316" s="62">
        <f t="shared" si="380"/>
        <v>5968.1785835269966</v>
      </c>
      <c r="R316" s="69">
        <f t="shared" si="427"/>
        <v>2</v>
      </c>
      <c r="S316" s="70">
        <f t="shared" ref="S316" si="447">100%-(Q316/$F316)</f>
        <v>0</v>
      </c>
      <c r="T316" s="69"/>
      <c r="U316" s="68">
        <f t="shared" ref="U316:U333" si="448">+T316*D316</f>
        <v>0</v>
      </c>
      <c r="V316" s="62">
        <f t="shared" si="377"/>
        <v>5968.1785835269966</v>
      </c>
      <c r="W316" s="69">
        <f t="shared" si="428"/>
        <v>2</v>
      </c>
      <c r="X316" s="70">
        <f t="shared" ref="X316" si="449">100%-(V316/$F316)</f>
        <v>0</v>
      </c>
      <c r="Y316" s="69"/>
      <c r="Z316" s="68">
        <f t="shared" ref="Z316:Z333" si="450">+Y316*I316</f>
        <v>0</v>
      </c>
      <c r="AA316" s="68">
        <f t="shared" si="378"/>
        <v>5968.1785835269966</v>
      </c>
      <c r="AB316" s="69">
        <f t="shared" si="424"/>
        <v>2</v>
      </c>
      <c r="AC316" s="70">
        <f t="shared" ref="AC316" si="451">100%-(AA316/$F316)</f>
        <v>0</v>
      </c>
      <c r="AD316" s="69"/>
      <c r="AE316" s="68">
        <f>AD316*I316</f>
        <v>0</v>
      </c>
      <c r="AF316" s="68">
        <f>F316-AE316</f>
        <v>5968.1785835269966</v>
      </c>
      <c r="AG316" s="69">
        <f>G316-AD316</f>
        <v>2</v>
      </c>
      <c r="AH316" s="70">
        <f t="shared" ref="AH316" si="452">100%-(AF316/$F316)</f>
        <v>0</v>
      </c>
    </row>
    <row r="317" spans="1:34" ht="15" customHeight="1" outlineLevel="2" x14ac:dyDescent="0.25">
      <c r="B317" s="71">
        <v>6460</v>
      </c>
      <c r="C317" s="56" t="s">
        <v>68</v>
      </c>
      <c r="E317" s="73">
        <v>3936.54</v>
      </c>
      <c r="F317" s="74">
        <f t="shared" si="425"/>
        <v>5194.8625597998825</v>
      </c>
      <c r="G317" s="75">
        <v>2</v>
      </c>
      <c r="H317" s="56" t="s">
        <v>39</v>
      </c>
      <c r="I317" s="73">
        <f t="shared" si="400"/>
        <v>2597.4312798999413</v>
      </c>
      <c r="K317" s="68">
        <f t="shared" si="444"/>
        <v>0</v>
      </c>
      <c r="L317" s="62">
        <f t="shared" si="379"/>
        <v>0</v>
      </c>
      <c r="M317" s="69">
        <f t="shared" si="426"/>
        <v>0</v>
      </c>
      <c r="P317" s="68">
        <f t="shared" si="446"/>
        <v>0</v>
      </c>
      <c r="Q317" s="62">
        <f t="shared" si="380"/>
        <v>0</v>
      </c>
      <c r="R317" s="69">
        <f t="shared" si="427"/>
        <v>0</v>
      </c>
      <c r="U317" s="68">
        <f t="shared" si="448"/>
        <v>0</v>
      </c>
      <c r="V317" s="62">
        <f t="shared" si="377"/>
        <v>0</v>
      </c>
      <c r="W317" s="69">
        <f t="shared" si="428"/>
        <v>0</v>
      </c>
      <c r="Y317" s="75">
        <f>$AD$316*B317/$G$316</f>
        <v>0</v>
      </c>
      <c r="Z317" s="68">
        <f t="shared" si="450"/>
        <v>0</v>
      </c>
      <c r="AA317" s="68">
        <f t="shared" si="378"/>
        <v>0</v>
      </c>
      <c r="AB317" s="69">
        <f t="shared" si="424"/>
        <v>0</v>
      </c>
      <c r="AD317" s="75">
        <f>$AD$316*G317/$G$316</f>
        <v>0</v>
      </c>
    </row>
    <row r="318" spans="1:34" ht="15" customHeight="1" outlineLevel="2" x14ac:dyDescent="0.25">
      <c r="B318" s="71">
        <v>6480</v>
      </c>
      <c r="C318" s="56" t="s">
        <v>96</v>
      </c>
      <c r="E318" s="73">
        <v>586</v>
      </c>
      <c r="F318" s="74">
        <f t="shared" si="425"/>
        <v>773.31602372711347</v>
      </c>
      <c r="G318" s="75">
        <v>1</v>
      </c>
      <c r="H318" s="56" t="s">
        <v>34</v>
      </c>
      <c r="I318" s="73">
        <f t="shared" si="400"/>
        <v>773.31602372711347</v>
      </c>
      <c r="K318" s="68">
        <f t="shared" si="444"/>
        <v>0</v>
      </c>
      <c r="L318" s="62">
        <f t="shared" si="379"/>
        <v>0</v>
      </c>
      <c r="M318" s="69">
        <f t="shared" si="426"/>
        <v>0</v>
      </c>
      <c r="P318" s="68">
        <f t="shared" si="446"/>
        <v>0</v>
      </c>
      <c r="Q318" s="62">
        <f t="shared" si="380"/>
        <v>0</v>
      </c>
      <c r="R318" s="69">
        <f t="shared" si="427"/>
        <v>0</v>
      </c>
      <c r="U318" s="68">
        <f t="shared" si="448"/>
        <v>0</v>
      </c>
      <c r="V318" s="62">
        <f t="shared" si="377"/>
        <v>0</v>
      </c>
      <c r="W318" s="69">
        <f t="shared" si="428"/>
        <v>0</v>
      </c>
      <c r="Y318" s="75">
        <f>$AD$316*B318/$G$316</f>
        <v>0</v>
      </c>
      <c r="Z318" s="68">
        <f t="shared" si="450"/>
        <v>0</v>
      </c>
      <c r="AA318" s="68">
        <f t="shared" si="378"/>
        <v>0</v>
      </c>
      <c r="AB318" s="69">
        <f t="shared" si="424"/>
        <v>0</v>
      </c>
      <c r="AD318" s="75">
        <f>$AD$316*G318/$G$316</f>
        <v>0</v>
      </c>
    </row>
    <row r="319" spans="1:34" ht="15" customHeight="1" outlineLevel="1" x14ac:dyDescent="0.25">
      <c r="A319" s="67"/>
      <c r="B319" s="66"/>
      <c r="C319" s="67" t="s">
        <v>209</v>
      </c>
      <c r="D319" s="68"/>
      <c r="E319" s="68">
        <v>690.58</v>
      </c>
      <c r="F319" s="68">
        <f t="shared" si="425"/>
        <v>911.32522127213326</v>
      </c>
      <c r="G319" s="69">
        <v>35</v>
      </c>
      <c r="H319" s="67" t="s">
        <v>40</v>
      </c>
      <c r="I319" s="68">
        <f t="shared" si="400"/>
        <v>26.037863464918093</v>
      </c>
      <c r="J319" s="69"/>
      <c r="K319" s="68">
        <f t="shared" si="444"/>
        <v>0</v>
      </c>
      <c r="L319" s="62">
        <f t="shared" si="379"/>
        <v>911.32522127213326</v>
      </c>
      <c r="M319" s="69">
        <f t="shared" si="426"/>
        <v>35</v>
      </c>
      <c r="N319" s="70">
        <f t="shared" ref="N319" si="453">100%-(L319/$F319)</f>
        <v>0</v>
      </c>
      <c r="O319" s="69"/>
      <c r="P319" s="68">
        <f t="shared" si="446"/>
        <v>0</v>
      </c>
      <c r="Q319" s="62">
        <f t="shared" si="380"/>
        <v>911.32522127213326</v>
      </c>
      <c r="R319" s="69">
        <f t="shared" si="427"/>
        <v>35</v>
      </c>
      <c r="S319" s="70">
        <f t="shared" ref="S319" si="454">100%-(Q319/$F319)</f>
        <v>0</v>
      </c>
      <c r="T319" s="69"/>
      <c r="U319" s="68">
        <f t="shared" si="448"/>
        <v>0</v>
      </c>
      <c r="V319" s="62">
        <f t="shared" si="377"/>
        <v>911.32522127213326</v>
      </c>
      <c r="W319" s="69">
        <f t="shared" si="428"/>
        <v>35</v>
      </c>
      <c r="X319" s="70">
        <f t="shared" ref="X319" si="455">100%-(V319/$F319)</f>
        <v>0</v>
      </c>
      <c r="Y319" s="69"/>
      <c r="Z319" s="68">
        <f t="shared" si="450"/>
        <v>0</v>
      </c>
      <c r="AA319" s="68">
        <f t="shared" si="378"/>
        <v>911.32522127213326</v>
      </c>
      <c r="AB319" s="69">
        <f t="shared" si="424"/>
        <v>35</v>
      </c>
      <c r="AC319" s="70">
        <f t="shared" ref="AC319" si="456">100%-(AA319/$F319)</f>
        <v>0</v>
      </c>
      <c r="AD319" s="69"/>
      <c r="AE319" s="68">
        <f>AD319*I319</f>
        <v>0</v>
      </c>
      <c r="AF319" s="68">
        <f>F319-AE319</f>
        <v>911.32522127213326</v>
      </c>
      <c r="AG319" s="69">
        <f>G319-AD319</f>
        <v>35</v>
      </c>
      <c r="AH319" s="70">
        <f t="shared" ref="AH319" si="457">100%-(AF319/$F319)</f>
        <v>0</v>
      </c>
    </row>
    <row r="320" spans="1:34" ht="15" customHeight="1" outlineLevel="2" x14ac:dyDescent="0.25">
      <c r="B320" s="71">
        <v>6004</v>
      </c>
      <c r="C320" s="56" t="s">
        <v>64</v>
      </c>
      <c r="E320" s="73">
        <v>364.13</v>
      </c>
      <c r="F320" s="74">
        <f t="shared" si="425"/>
        <v>480.52485276408504</v>
      </c>
      <c r="G320" s="75">
        <v>35</v>
      </c>
      <c r="H320" s="56" t="s">
        <v>40</v>
      </c>
      <c r="I320" s="73">
        <f t="shared" si="400"/>
        <v>13.729281507545286</v>
      </c>
      <c r="K320" s="68">
        <f t="shared" si="444"/>
        <v>0</v>
      </c>
      <c r="L320" s="62">
        <f t="shared" si="379"/>
        <v>0</v>
      </c>
      <c r="M320" s="69">
        <f t="shared" si="426"/>
        <v>0</v>
      </c>
      <c r="P320" s="68">
        <f t="shared" si="446"/>
        <v>0</v>
      </c>
      <c r="Q320" s="62">
        <f t="shared" si="380"/>
        <v>0</v>
      </c>
      <c r="R320" s="69">
        <f t="shared" si="427"/>
        <v>0</v>
      </c>
      <c r="U320" s="68">
        <f t="shared" si="448"/>
        <v>0</v>
      </c>
      <c r="V320" s="62">
        <f t="shared" si="377"/>
        <v>0</v>
      </c>
      <c r="W320" s="69">
        <f t="shared" si="428"/>
        <v>0</v>
      </c>
      <c r="Y320" s="75">
        <f t="shared" ref="Y320:Y325" si="458">$AD$319*B320/$G$319</f>
        <v>0</v>
      </c>
      <c r="Z320" s="68">
        <f t="shared" si="450"/>
        <v>0</v>
      </c>
      <c r="AA320" s="68">
        <f t="shared" si="378"/>
        <v>0</v>
      </c>
      <c r="AB320" s="69">
        <f t="shared" si="424"/>
        <v>0</v>
      </c>
      <c r="AD320" s="75">
        <f t="shared" ref="AD320:AD325" si="459">$AD$319*G320/$G$319</f>
        <v>0</v>
      </c>
    </row>
    <row r="321" spans="1:34" ht="15" customHeight="1" outlineLevel="2" x14ac:dyDescent="0.25">
      <c r="B321" s="71">
        <v>2180</v>
      </c>
      <c r="C321" s="56" t="s">
        <v>50</v>
      </c>
      <c r="E321" s="73">
        <v>121.59</v>
      </c>
      <c r="F321" s="74">
        <f t="shared" si="425"/>
        <v>160.45647666378792</v>
      </c>
      <c r="G321" s="75">
        <v>13.51</v>
      </c>
      <c r="H321" s="56" t="s">
        <v>43</v>
      </c>
      <c r="I321" s="73">
        <f t="shared" si="400"/>
        <v>11.876867258607545</v>
      </c>
      <c r="K321" s="68">
        <f t="shared" si="444"/>
        <v>0</v>
      </c>
      <c r="L321" s="62">
        <f t="shared" si="379"/>
        <v>0</v>
      </c>
      <c r="M321" s="69">
        <f t="shared" si="426"/>
        <v>0</v>
      </c>
      <c r="P321" s="68">
        <f t="shared" si="446"/>
        <v>0</v>
      </c>
      <c r="Q321" s="62">
        <f t="shared" si="380"/>
        <v>0</v>
      </c>
      <c r="R321" s="69">
        <f t="shared" si="427"/>
        <v>0</v>
      </c>
      <c r="U321" s="68">
        <f t="shared" si="448"/>
        <v>0</v>
      </c>
      <c r="V321" s="62">
        <f t="shared" si="377"/>
        <v>0</v>
      </c>
      <c r="W321" s="69">
        <f t="shared" si="428"/>
        <v>0</v>
      </c>
      <c r="Y321" s="75">
        <f t="shared" si="458"/>
        <v>0</v>
      </c>
      <c r="Z321" s="68">
        <f t="shared" si="450"/>
        <v>0</v>
      </c>
      <c r="AA321" s="68">
        <f t="shared" si="378"/>
        <v>0</v>
      </c>
      <c r="AB321" s="69">
        <f t="shared" si="424"/>
        <v>0</v>
      </c>
      <c r="AD321" s="75">
        <f t="shared" si="459"/>
        <v>0</v>
      </c>
    </row>
    <row r="322" spans="1:34" ht="15" customHeight="1" outlineLevel="2" x14ac:dyDescent="0.25">
      <c r="B322" s="71">
        <v>2149</v>
      </c>
      <c r="C322" s="56" t="s">
        <v>48</v>
      </c>
      <c r="E322" s="73">
        <v>66.66</v>
      </c>
      <c r="F322" s="74">
        <f t="shared" si="425"/>
        <v>87.967996828753215</v>
      </c>
      <c r="G322" s="75">
        <v>13.51</v>
      </c>
      <c r="H322" s="56" t="s">
        <v>43</v>
      </c>
      <c r="I322" s="73">
        <f t="shared" si="400"/>
        <v>6.511324709752274</v>
      </c>
      <c r="K322" s="68">
        <f t="shared" si="444"/>
        <v>0</v>
      </c>
      <c r="L322" s="62">
        <f t="shared" si="379"/>
        <v>0</v>
      </c>
      <c r="M322" s="69">
        <f t="shared" si="426"/>
        <v>0</v>
      </c>
      <c r="P322" s="68">
        <f t="shared" si="446"/>
        <v>0</v>
      </c>
      <c r="Q322" s="62">
        <f t="shared" si="380"/>
        <v>0</v>
      </c>
      <c r="R322" s="69">
        <f t="shared" si="427"/>
        <v>0</v>
      </c>
      <c r="U322" s="68">
        <f t="shared" si="448"/>
        <v>0</v>
      </c>
      <c r="V322" s="62">
        <f t="shared" si="377"/>
        <v>0</v>
      </c>
      <c r="W322" s="69">
        <f t="shared" si="428"/>
        <v>0</v>
      </c>
      <c r="Y322" s="75">
        <f t="shared" si="458"/>
        <v>0</v>
      </c>
      <c r="Z322" s="68">
        <f t="shared" si="450"/>
        <v>0</v>
      </c>
      <c r="AA322" s="68">
        <f t="shared" si="378"/>
        <v>0</v>
      </c>
      <c r="AB322" s="69">
        <f t="shared" si="424"/>
        <v>0</v>
      </c>
      <c r="AD322" s="75">
        <f t="shared" si="459"/>
        <v>0</v>
      </c>
    </row>
    <row r="323" spans="1:34" ht="15" customHeight="1" outlineLevel="2" x14ac:dyDescent="0.25">
      <c r="B323" s="71">
        <v>6490</v>
      </c>
      <c r="C323" s="56" t="s">
        <v>69</v>
      </c>
      <c r="E323" s="73">
        <v>26.81</v>
      </c>
      <c r="F323" s="74">
        <f t="shared" si="425"/>
        <v>35.37986791147425</v>
      </c>
      <c r="G323" s="75">
        <v>35</v>
      </c>
      <c r="H323" s="56" t="s">
        <v>40</v>
      </c>
      <c r="I323" s="73">
        <f t="shared" si="400"/>
        <v>1.0108533688992642</v>
      </c>
      <c r="K323" s="68">
        <f t="shared" si="444"/>
        <v>0</v>
      </c>
      <c r="L323" s="62">
        <f t="shared" si="379"/>
        <v>0</v>
      </c>
      <c r="M323" s="69">
        <f t="shared" si="426"/>
        <v>0</v>
      </c>
      <c r="P323" s="68">
        <f t="shared" si="446"/>
        <v>0</v>
      </c>
      <c r="Q323" s="62">
        <f t="shared" si="380"/>
        <v>0</v>
      </c>
      <c r="R323" s="69">
        <f t="shared" si="427"/>
        <v>0</v>
      </c>
      <c r="U323" s="68">
        <f t="shared" si="448"/>
        <v>0</v>
      </c>
      <c r="V323" s="62">
        <f t="shared" si="377"/>
        <v>0</v>
      </c>
      <c r="W323" s="69">
        <f t="shared" si="428"/>
        <v>0</v>
      </c>
      <c r="Y323" s="75">
        <f t="shared" si="458"/>
        <v>0</v>
      </c>
      <c r="Z323" s="68">
        <f t="shared" si="450"/>
        <v>0</v>
      </c>
      <c r="AA323" s="68">
        <f t="shared" si="378"/>
        <v>0</v>
      </c>
      <c r="AB323" s="69">
        <f t="shared" si="424"/>
        <v>0</v>
      </c>
      <c r="AD323" s="75">
        <f t="shared" si="459"/>
        <v>0</v>
      </c>
    </row>
    <row r="324" spans="1:34" ht="15" customHeight="1" outlineLevel="2" x14ac:dyDescent="0.25">
      <c r="B324" s="71">
        <v>2150</v>
      </c>
      <c r="C324" s="56" t="s">
        <v>38</v>
      </c>
      <c r="E324" s="73">
        <v>82.27</v>
      </c>
      <c r="F324" s="74">
        <f t="shared" si="425"/>
        <v>108.56776326284918</v>
      </c>
      <c r="G324" s="75">
        <v>9.6999999999999993</v>
      </c>
      <c r="H324" s="56" t="s">
        <v>43</v>
      </c>
      <c r="I324" s="73">
        <f t="shared" si="400"/>
        <v>11.192552913695794</v>
      </c>
      <c r="K324" s="68">
        <f t="shared" si="444"/>
        <v>0</v>
      </c>
      <c r="L324" s="62">
        <f t="shared" si="379"/>
        <v>0</v>
      </c>
      <c r="M324" s="69">
        <f t="shared" si="426"/>
        <v>0</v>
      </c>
      <c r="P324" s="68">
        <f t="shared" si="446"/>
        <v>0</v>
      </c>
      <c r="Q324" s="62">
        <f t="shared" si="380"/>
        <v>0</v>
      </c>
      <c r="R324" s="69">
        <f t="shared" si="427"/>
        <v>0</v>
      </c>
      <c r="U324" s="68">
        <f t="shared" si="448"/>
        <v>0</v>
      </c>
      <c r="V324" s="62">
        <f t="shared" si="377"/>
        <v>0</v>
      </c>
      <c r="W324" s="69">
        <f t="shared" si="428"/>
        <v>0</v>
      </c>
      <c r="Y324" s="75">
        <f t="shared" si="458"/>
        <v>0</v>
      </c>
      <c r="Z324" s="68">
        <f t="shared" si="450"/>
        <v>0</v>
      </c>
      <c r="AA324" s="68">
        <f t="shared" si="378"/>
        <v>0</v>
      </c>
      <c r="AB324" s="69">
        <f t="shared" si="424"/>
        <v>0</v>
      </c>
      <c r="AD324" s="75">
        <f t="shared" si="459"/>
        <v>0</v>
      </c>
    </row>
    <row r="325" spans="1:34" ht="15" customHeight="1" outlineLevel="2" x14ac:dyDescent="0.25">
      <c r="B325" s="71">
        <v>2490</v>
      </c>
      <c r="C325" s="56" t="s">
        <v>37</v>
      </c>
      <c r="E325" s="73">
        <v>29.11</v>
      </c>
      <c r="F325" s="74">
        <f t="shared" si="425"/>
        <v>38.415067322007289</v>
      </c>
      <c r="G325" s="75">
        <v>9.6999999999999993</v>
      </c>
      <c r="H325" s="56" t="s">
        <v>43</v>
      </c>
      <c r="I325" s="73">
        <f t="shared" si="400"/>
        <v>3.9603162187636385</v>
      </c>
      <c r="K325" s="68">
        <f t="shared" si="444"/>
        <v>0</v>
      </c>
      <c r="L325" s="62">
        <f t="shared" si="379"/>
        <v>0</v>
      </c>
      <c r="M325" s="69">
        <f t="shared" si="426"/>
        <v>0</v>
      </c>
      <c r="P325" s="68">
        <f t="shared" si="446"/>
        <v>0</v>
      </c>
      <c r="Q325" s="62">
        <f t="shared" si="380"/>
        <v>0</v>
      </c>
      <c r="R325" s="69">
        <f t="shared" si="427"/>
        <v>0</v>
      </c>
      <c r="U325" s="68">
        <f t="shared" si="448"/>
        <v>0</v>
      </c>
      <c r="V325" s="62">
        <f t="shared" ref="V325:V388" si="460">+AA325-U325</f>
        <v>0</v>
      </c>
      <c r="W325" s="69">
        <f t="shared" si="428"/>
        <v>0</v>
      </c>
      <c r="Y325" s="75">
        <f t="shared" si="458"/>
        <v>0</v>
      </c>
      <c r="Z325" s="68">
        <f t="shared" si="450"/>
        <v>0</v>
      </c>
      <c r="AA325" s="68">
        <f t="shared" ref="AA325:AA388" si="461">+AF325-Z325</f>
        <v>0</v>
      </c>
      <c r="AB325" s="69">
        <f t="shared" si="424"/>
        <v>0</v>
      </c>
      <c r="AD325" s="75">
        <f t="shared" si="459"/>
        <v>0</v>
      </c>
    </row>
    <row r="326" spans="1:34" ht="15" customHeight="1" outlineLevel="1" x14ac:dyDescent="0.25">
      <c r="A326" s="67"/>
      <c r="B326" s="66"/>
      <c r="C326" s="67" t="s">
        <v>210</v>
      </c>
      <c r="D326" s="68"/>
      <c r="E326" s="68">
        <v>26628.880000000001</v>
      </c>
      <c r="F326" s="68">
        <f t="shared" si="425"/>
        <v>35140.852556154365</v>
      </c>
      <c r="G326" s="69">
        <v>1170</v>
      </c>
      <c r="H326" s="67" t="s">
        <v>40</v>
      </c>
      <c r="I326" s="68">
        <f t="shared" si="400"/>
        <v>30.034916714661851</v>
      </c>
      <c r="J326" s="69"/>
      <c r="K326" s="68">
        <f t="shared" si="444"/>
        <v>0</v>
      </c>
      <c r="L326" s="62">
        <f t="shared" si="379"/>
        <v>35140.852556154365</v>
      </c>
      <c r="M326" s="69">
        <f t="shared" si="426"/>
        <v>1170</v>
      </c>
      <c r="N326" s="70">
        <f t="shared" ref="N326" si="462">100%-(L326/$F326)</f>
        <v>0</v>
      </c>
      <c r="O326" s="69"/>
      <c r="P326" s="68">
        <f t="shared" si="446"/>
        <v>0</v>
      </c>
      <c r="Q326" s="62">
        <f t="shared" si="380"/>
        <v>35140.852556154365</v>
      </c>
      <c r="R326" s="69">
        <f t="shared" si="427"/>
        <v>1170</v>
      </c>
      <c r="S326" s="70">
        <f t="shared" ref="S326" si="463">100%-(Q326/$F326)</f>
        <v>0</v>
      </c>
      <c r="T326" s="69"/>
      <c r="U326" s="68">
        <f t="shared" si="448"/>
        <v>0</v>
      </c>
      <c r="V326" s="62">
        <f t="shared" si="460"/>
        <v>35140.852556154365</v>
      </c>
      <c r="W326" s="69">
        <f t="shared" si="428"/>
        <v>1170</v>
      </c>
      <c r="X326" s="70">
        <f t="shared" ref="X326" si="464">100%-(V326/$F326)</f>
        <v>0</v>
      </c>
      <c r="Y326" s="69"/>
      <c r="Z326" s="68">
        <f t="shared" si="450"/>
        <v>0</v>
      </c>
      <c r="AA326" s="68">
        <f t="shared" si="461"/>
        <v>35140.852556154365</v>
      </c>
      <c r="AB326" s="69">
        <f t="shared" si="424"/>
        <v>1170</v>
      </c>
      <c r="AC326" s="70">
        <f t="shared" ref="AC326" si="465">100%-(AA326/$F326)</f>
        <v>0</v>
      </c>
      <c r="AD326" s="69"/>
      <c r="AE326" s="68">
        <f>AD326*I326</f>
        <v>0</v>
      </c>
      <c r="AF326" s="68">
        <f>F326-AE326</f>
        <v>35140.852556154365</v>
      </c>
      <c r="AG326" s="69">
        <f>G326-AD326</f>
        <v>1170</v>
      </c>
      <c r="AH326" s="70">
        <f t="shared" ref="AH326" si="466">100%-(AF326/$F326)</f>
        <v>0</v>
      </c>
    </row>
    <row r="327" spans="1:34" ht="15" customHeight="1" outlineLevel="2" x14ac:dyDescent="0.25">
      <c r="B327" s="71">
        <v>6006</v>
      </c>
      <c r="C327" s="56" t="s">
        <v>65</v>
      </c>
      <c r="E327" s="73">
        <v>12172.46</v>
      </c>
      <c r="F327" s="74">
        <f t="shared" si="425"/>
        <v>16063.410181189998</v>
      </c>
      <c r="G327" s="75">
        <v>1170</v>
      </c>
      <c r="H327" s="56" t="s">
        <v>40</v>
      </c>
      <c r="I327" s="73">
        <f t="shared" si="400"/>
        <v>13.729410411273502</v>
      </c>
      <c r="K327" s="68">
        <f t="shared" si="444"/>
        <v>0</v>
      </c>
      <c r="L327" s="62">
        <f t="shared" ref="L327:L390" si="467">+Q327-K327</f>
        <v>0</v>
      </c>
      <c r="M327" s="69">
        <f t="shared" si="426"/>
        <v>0</v>
      </c>
      <c r="P327" s="68">
        <f t="shared" si="446"/>
        <v>0</v>
      </c>
      <c r="Q327" s="62">
        <f t="shared" ref="Q327:Q390" si="468">+V327-P327</f>
        <v>0</v>
      </c>
      <c r="R327" s="69">
        <f t="shared" si="427"/>
        <v>0</v>
      </c>
      <c r="U327" s="68">
        <f t="shared" si="448"/>
        <v>0</v>
      </c>
      <c r="V327" s="62">
        <f t="shared" si="460"/>
        <v>0</v>
      </c>
      <c r="W327" s="69">
        <f t="shared" si="428"/>
        <v>0</v>
      </c>
      <c r="Y327" s="75">
        <f t="shared" ref="Y327:Y332" si="469">$AD$326*B327/$G$326</f>
        <v>0</v>
      </c>
      <c r="Z327" s="68">
        <f t="shared" si="450"/>
        <v>0</v>
      </c>
      <c r="AA327" s="68">
        <f t="shared" si="461"/>
        <v>0</v>
      </c>
      <c r="AB327" s="69">
        <f t="shared" si="424"/>
        <v>0</v>
      </c>
      <c r="AD327" s="75">
        <f t="shared" ref="AD327:AD332" si="470">$AD$326*G327/$G$326</f>
        <v>0</v>
      </c>
    </row>
    <row r="328" spans="1:34" ht="15" customHeight="1" outlineLevel="2" x14ac:dyDescent="0.25">
      <c r="B328" s="71">
        <v>2180</v>
      </c>
      <c r="C328" s="56" t="s">
        <v>50</v>
      </c>
      <c r="E328" s="73">
        <v>4587.09</v>
      </c>
      <c r="F328" s="74">
        <f t="shared" si="425"/>
        <v>6053.3621148095654</v>
      </c>
      <c r="G328" s="75">
        <v>509.68</v>
      </c>
      <c r="H328" s="56" t="s">
        <v>43</v>
      </c>
      <c r="I328" s="73">
        <f t="shared" si="400"/>
        <v>11.876789583286699</v>
      </c>
      <c r="K328" s="68">
        <f t="shared" si="444"/>
        <v>0</v>
      </c>
      <c r="L328" s="62">
        <f t="shared" si="467"/>
        <v>0</v>
      </c>
      <c r="M328" s="69">
        <f t="shared" si="426"/>
        <v>0</v>
      </c>
      <c r="P328" s="68">
        <f t="shared" si="446"/>
        <v>0</v>
      </c>
      <c r="Q328" s="62">
        <f t="shared" si="468"/>
        <v>0</v>
      </c>
      <c r="R328" s="69">
        <f t="shared" si="427"/>
        <v>0</v>
      </c>
      <c r="U328" s="68">
        <f t="shared" si="448"/>
        <v>0</v>
      </c>
      <c r="V328" s="62">
        <f t="shared" si="460"/>
        <v>0</v>
      </c>
      <c r="W328" s="69">
        <f t="shared" si="428"/>
        <v>0</v>
      </c>
      <c r="Y328" s="75">
        <f t="shared" si="469"/>
        <v>0</v>
      </c>
      <c r="Z328" s="68">
        <f t="shared" si="450"/>
        <v>0</v>
      </c>
      <c r="AA328" s="68">
        <f t="shared" si="461"/>
        <v>0</v>
      </c>
      <c r="AB328" s="69">
        <f t="shared" si="424"/>
        <v>0</v>
      </c>
      <c r="AD328" s="75">
        <f t="shared" si="470"/>
        <v>0</v>
      </c>
    </row>
    <row r="329" spans="1:34" ht="15" customHeight="1" outlineLevel="2" x14ac:dyDescent="0.25">
      <c r="B329" s="71">
        <v>2149</v>
      </c>
      <c r="C329" s="56" t="s">
        <v>48</v>
      </c>
      <c r="E329" s="73">
        <v>4321.17</v>
      </c>
      <c r="F329" s="74">
        <f t="shared" si="425"/>
        <v>5702.4402768752407</v>
      </c>
      <c r="G329" s="75">
        <v>509.68</v>
      </c>
      <c r="H329" s="56" t="s">
        <v>43</v>
      </c>
      <c r="I329" s="73">
        <f t="shared" si="400"/>
        <v>11.18827553930945</v>
      </c>
      <c r="K329" s="68">
        <f t="shared" si="444"/>
        <v>0</v>
      </c>
      <c r="L329" s="62">
        <f t="shared" si="467"/>
        <v>0</v>
      </c>
      <c r="M329" s="69">
        <f t="shared" si="426"/>
        <v>0</v>
      </c>
      <c r="P329" s="68">
        <f t="shared" si="446"/>
        <v>0</v>
      </c>
      <c r="Q329" s="62">
        <f t="shared" si="468"/>
        <v>0</v>
      </c>
      <c r="R329" s="69">
        <f t="shared" si="427"/>
        <v>0</v>
      </c>
      <c r="U329" s="68">
        <f t="shared" si="448"/>
        <v>0</v>
      </c>
      <c r="V329" s="62">
        <f t="shared" si="460"/>
        <v>0</v>
      </c>
      <c r="W329" s="69">
        <f t="shared" si="428"/>
        <v>0</v>
      </c>
      <c r="Y329" s="75">
        <f t="shared" si="469"/>
        <v>0</v>
      </c>
      <c r="Z329" s="68">
        <f t="shared" si="450"/>
        <v>0</v>
      </c>
      <c r="AA329" s="68">
        <f t="shared" si="461"/>
        <v>0</v>
      </c>
      <c r="AB329" s="69">
        <f t="shared" si="424"/>
        <v>0</v>
      </c>
      <c r="AD329" s="75">
        <f t="shared" si="470"/>
        <v>0</v>
      </c>
    </row>
    <row r="330" spans="1:34" ht="15" customHeight="1" outlineLevel="2" x14ac:dyDescent="0.25">
      <c r="B330" s="71">
        <v>6490</v>
      </c>
      <c r="C330" s="56" t="s">
        <v>69</v>
      </c>
      <c r="E330" s="73">
        <v>1195.98</v>
      </c>
      <c r="F330" s="74">
        <f t="shared" si="425"/>
        <v>1578.277300438828</v>
      </c>
      <c r="G330" s="75">
        <v>1170</v>
      </c>
      <c r="H330" s="56" t="s">
        <v>40</v>
      </c>
      <c r="I330" s="73">
        <f t="shared" si="400"/>
        <v>1.3489549576400239</v>
      </c>
      <c r="K330" s="68">
        <f t="shared" si="444"/>
        <v>0</v>
      </c>
      <c r="L330" s="62">
        <f t="shared" si="467"/>
        <v>0</v>
      </c>
      <c r="M330" s="69">
        <f t="shared" si="426"/>
        <v>0</v>
      </c>
      <c r="P330" s="68">
        <f t="shared" si="446"/>
        <v>0</v>
      </c>
      <c r="Q330" s="62">
        <f t="shared" si="468"/>
        <v>0</v>
      </c>
      <c r="R330" s="69">
        <f t="shared" si="427"/>
        <v>0</v>
      </c>
      <c r="U330" s="68">
        <f t="shared" si="448"/>
        <v>0</v>
      </c>
      <c r="V330" s="62">
        <f t="shared" si="460"/>
        <v>0</v>
      </c>
      <c r="W330" s="69">
        <f t="shared" si="428"/>
        <v>0</v>
      </c>
      <c r="Y330" s="75">
        <f t="shared" si="469"/>
        <v>0</v>
      </c>
      <c r="Z330" s="68">
        <f t="shared" si="450"/>
        <v>0</v>
      </c>
      <c r="AA330" s="68">
        <f t="shared" si="461"/>
        <v>0</v>
      </c>
      <c r="AB330" s="69">
        <f t="shared" si="424"/>
        <v>0</v>
      </c>
      <c r="AD330" s="75">
        <f t="shared" si="470"/>
        <v>0</v>
      </c>
    </row>
    <row r="331" spans="1:34" ht="15" customHeight="1" outlineLevel="2" x14ac:dyDescent="0.25">
      <c r="B331" s="71">
        <v>2150</v>
      </c>
      <c r="C331" s="56" t="s">
        <v>38</v>
      </c>
      <c r="E331" s="73">
        <v>3214.67</v>
      </c>
      <c r="F331" s="74">
        <f t="shared" si="425"/>
        <v>4242.2454300253239</v>
      </c>
      <c r="G331" s="75">
        <v>379.17</v>
      </c>
      <c r="H331" s="56" t="s">
        <v>43</v>
      </c>
      <c r="I331" s="73">
        <f t="shared" si="400"/>
        <v>11.188241237506459</v>
      </c>
      <c r="K331" s="68">
        <f t="shared" si="444"/>
        <v>0</v>
      </c>
      <c r="L331" s="62">
        <f t="shared" si="467"/>
        <v>0</v>
      </c>
      <c r="M331" s="69">
        <f t="shared" si="426"/>
        <v>0</v>
      </c>
      <c r="P331" s="68">
        <f t="shared" si="446"/>
        <v>0</v>
      </c>
      <c r="Q331" s="62">
        <f t="shared" si="468"/>
        <v>0</v>
      </c>
      <c r="R331" s="69">
        <f t="shared" si="427"/>
        <v>0</v>
      </c>
      <c r="U331" s="68">
        <f t="shared" si="448"/>
        <v>0</v>
      </c>
      <c r="V331" s="62">
        <f t="shared" si="460"/>
        <v>0</v>
      </c>
      <c r="W331" s="69">
        <f t="shared" si="428"/>
        <v>0</v>
      </c>
      <c r="Y331" s="75">
        <f t="shared" si="469"/>
        <v>0</v>
      </c>
      <c r="Z331" s="68">
        <f t="shared" si="450"/>
        <v>0</v>
      </c>
      <c r="AA331" s="68">
        <f t="shared" si="461"/>
        <v>0</v>
      </c>
      <c r="AB331" s="69">
        <f t="shared" si="424"/>
        <v>0</v>
      </c>
      <c r="AD331" s="75">
        <f t="shared" si="470"/>
        <v>0</v>
      </c>
    </row>
    <row r="332" spans="1:34" ht="15" customHeight="1" outlineLevel="2" x14ac:dyDescent="0.25">
      <c r="B332" s="71">
        <v>2490</v>
      </c>
      <c r="C332" s="56" t="s">
        <v>37</v>
      </c>
      <c r="E332" s="73">
        <v>1137.5</v>
      </c>
      <c r="F332" s="74">
        <f t="shared" si="425"/>
        <v>1501.1040562962314</v>
      </c>
      <c r="G332" s="75">
        <v>379.17</v>
      </c>
      <c r="H332" s="56" t="s">
        <v>43</v>
      </c>
      <c r="I332" s="73">
        <f t="shared" si="400"/>
        <v>3.9589209491685295</v>
      </c>
      <c r="K332" s="68">
        <f t="shared" si="444"/>
        <v>0</v>
      </c>
      <c r="L332" s="62">
        <f t="shared" si="467"/>
        <v>0</v>
      </c>
      <c r="M332" s="69">
        <f t="shared" si="426"/>
        <v>0</v>
      </c>
      <c r="P332" s="68">
        <f t="shared" si="446"/>
        <v>0</v>
      </c>
      <c r="Q332" s="62">
        <f t="shared" si="468"/>
        <v>0</v>
      </c>
      <c r="R332" s="69">
        <f t="shared" si="427"/>
        <v>0</v>
      </c>
      <c r="U332" s="68">
        <f t="shared" si="448"/>
        <v>0</v>
      </c>
      <c r="V332" s="62">
        <f t="shared" si="460"/>
        <v>0</v>
      </c>
      <c r="W332" s="69">
        <f t="shared" si="428"/>
        <v>0</v>
      </c>
      <c r="Y332" s="75">
        <f t="shared" si="469"/>
        <v>0</v>
      </c>
      <c r="Z332" s="68">
        <f t="shared" si="450"/>
        <v>0</v>
      </c>
      <c r="AA332" s="68">
        <f t="shared" si="461"/>
        <v>0</v>
      </c>
      <c r="AB332" s="69">
        <f t="shared" si="424"/>
        <v>0</v>
      </c>
      <c r="AD332" s="75">
        <f t="shared" si="470"/>
        <v>0</v>
      </c>
    </row>
    <row r="333" spans="1:34" ht="15" customHeight="1" outlineLevel="1" x14ac:dyDescent="0.25">
      <c r="A333" s="67"/>
      <c r="B333" s="66"/>
      <c r="C333" s="67" t="s">
        <v>211</v>
      </c>
      <c r="D333" s="68"/>
      <c r="E333" s="68">
        <v>2624.88</v>
      </c>
      <c r="F333" s="68">
        <f t="shared" si="425"/>
        <v>3463.9279255304195</v>
      </c>
      <c r="G333" s="69">
        <v>7</v>
      </c>
      <c r="H333" s="67" t="s">
        <v>39</v>
      </c>
      <c r="I333" s="68">
        <f t="shared" si="400"/>
        <v>494.84684650434565</v>
      </c>
      <c r="J333" s="69"/>
      <c r="K333" s="68">
        <f t="shared" si="444"/>
        <v>0</v>
      </c>
      <c r="L333" s="62">
        <f t="shared" si="467"/>
        <v>3463.9279255304195</v>
      </c>
      <c r="M333" s="69">
        <f t="shared" si="426"/>
        <v>7</v>
      </c>
      <c r="N333" s="70">
        <f t="shared" ref="N333" si="471">100%-(L333/$F333)</f>
        <v>0</v>
      </c>
      <c r="O333" s="69"/>
      <c r="P333" s="68">
        <f t="shared" si="446"/>
        <v>0</v>
      </c>
      <c r="Q333" s="62">
        <f t="shared" si="468"/>
        <v>3463.9279255304195</v>
      </c>
      <c r="R333" s="69">
        <f t="shared" si="427"/>
        <v>7</v>
      </c>
      <c r="S333" s="70">
        <f t="shared" ref="S333" si="472">100%-(Q333/$F333)</f>
        <v>0</v>
      </c>
      <c r="T333" s="69"/>
      <c r="U333" s="68">
        <f t="shared" si="448"/>
        <v>0</v>
      </c>
      <c r="V333" s="62">
        <f t="shared" si="460"/>
        <v>3463.9279255304195</v>
      </c>
      <c r="W333" s="69">
        <f t="shared" si="428"/>
        <v>7</v>
      </c>
      <c r="X333" s="70">
        <f t="shared" ref="X333" si="473">100%-(V333/$F333)</f>
        <v>0</v>
      </c>
      <c r="Y333" s="69"/>
      <c r="Z333" s="68">
        <f t="shared" si="450"/>
        <v>0</v>
      </c>
      <c r="AA333" s="68">
        <f t="shared" si="461"/>
        <v>3463.9279255304195</v>
      </c>
      <c r="AB333" s="69">
        <f t="shared" si="424"/>
        <v>7</v>
      </c>
      <c r="AC333" s="70">
        <f t="shared" ref="AC333" si="474">100%-(AA333/$F333)</f>
        <v>0</v>
      </c>
      <c r="AD333" s="69"/>
      <c r="AE333" s="68">
        <f>AD333*I333</f>
        <v>0</v>
      </c>
      <c r="AF333" s="68">
        <f>F333-AE333</f>
        <v>3463.9279255304195</v>
      </c>
      <c r="AG333" s="69">
        <f>G333-AD333</f>
        <v>7</v>
      </c>
      <c r="AH333" s="70">
        <f t="shared" ref="AH333" si="475">100%-(AF333/$F333)</f>
        <v>0</v>
      </c>
    </row>
    <row r="334" spans="1:34" ht="15" customHeight="1" outlineLevel="2" x14ac:dyDescent="0.25">
      <c r="B334" s="71">
        <v>6410</v>
      </c>
      <c r="C334" s="56" t="s">
        <v>99</v>
      </c>
      <c r="E334" s="73">
        <v>846.36</v>
      </c>
      <c r="F334" s="74">
        <f t="shared" si="425"/>
        <v>1116.9005969994535</v>
      </c>
      <c r="G334" s="75">
        <v>7</v>
      </c>
      <c r="H334" s="56" t="s">
        <v>39</v>
      </c>
      <c r="I334" s="73">
        <f t="shared" si="400"/>
        <v>159.55722814277905</v>
      </c>
      <c r="L334" s="62">
        <f t="shared" si="467"/>
        <v>0</v>
      </c>
      <c r="M334" s="69">
        <f t="shared" si="426"/>
        <v>0</v>
      </c>
      <c r="Q334" s="62">
        <f t="shared" si="468"/>
        <v>0</v>
      </c>
      <c r="R334" s="69"/>
      <c r="V334" s="62">
        <f t="shared" si="460"/>
        <v>0</v>
      </c>
      <c r="W334" s="69">
        <f t="shared" si="428"/>
        <v>0</v>
      </c>
      <c r="Y334" s="75">
        <f>$AD$333*B334/$G$333</f>
        <v>0</v>
      </c>
      <c r="AA334" s="68">
        <f t="shared" si="461"/>
        <v>0</v>
      </c>
      <c r="AB334" s="69">
        <f t="shared" si="424"/>
        <v>0</v>
      </c>
      <c r="AD334" s="75">
        <f>$AD$333*G334/$G$333</f>
        <v>0</v>
      </c>
    </row>
    <row r="335" spans="1:34" ht="15" customHeight="1" outlineLevel="2" x14ac:dyDescent="0.25">
      <c r="B335" s="71">
        <v>6415</v>
      </c>
      <c r="C335" s="56" t="s">
        <v>100</v>
      </c>
      <c r="E335" s="73">
        <v>1778.52</v>
      </c>
      <c r="F335" s="74">
        <f t="shared" si="425"/>
        <v>2347.0273285309659</v>
      </c>
      <c r="G335" s="75">
        <v>7</v>
      </c>
      <c r="H335" s="56" t="s">
        <v>39</v>
      </c>
      <c r="I335" s="73">
        <f t="shared" si="400"/>
        <v>335.28961836156657</v>
      </c>
      <c r="L335" s="62">
        <f t="shared" si="467"/>
        <v>0</v>
      </c>
      <c r="M335" s="69">
        <f t="shared" si="426"/>
        <v>0</v>
      </c>
      <c r="Q335" s="62">
        <f t="shared" si="468"/>
        <v>0</v>
      </c>
      <c r="R335" s="69"/>
      <c r="V335" s="62">
        <f t="shared" si="460"/>
        <v>0</v>
      </c>
      <c r="W335" s="69">
        <f t="shared" si="428"/>
        <v>0</v>
      </c>
      <c r="Y335" s="75">
        <f>$AD$333*B335/$G$333</f>
        <v>0</v>
      </c>
      <c r="AA335" s="68">
        <f t="shared" si="461"/>
        <v>0</v>
      </c>
      <c r="AB335" s="69">
        <f t="shared" si="424"/>
        <v>0</v>
      </c>
      <c r="AD335" s="75">
        <f>$AD$333*G335/$G$333</f>
        <v>0</v>
      </c>
    </row>
    <row r="336" spans="1:34" ht="15" customHeight="1" outlineLevel="1" x14ac:dyDescent="0.25">
      <c r="A336" s="79"/>
      <c r="B336" s="80"/>
      <c r="C336" s="79" t="s">
        <v>94</v>
      </c>
      <c r="D336" s="81"/>
      <c r="E336" s="81">
        <v>68734</v>
      </c>
      <c r="F336" s="81">
        <f t="shared" si="425"/>
        <v>90704.954905903447</v>
      </c>
      <c r="G336" s="82"/>
      <c r="H336" s="79"/>
      <c r="I336" s="81"/>
      <c r="J336" s="82"/>
      <c r="K336" s="81">
        <f>SUM(K337)</f>
        <v>0</v>
      </c>
      <c r="L336" s="62">
        <f t="shared" si="467"/>
        <v>52608.873845424001</v>
      </c>
      <c r="M336" s="69">
        <f t="shared" si="426"/>
        <v>0</v>
      </c>
      <c r="N336" s="83"/>
      <c r="O336" s="82"/>
      <c r="P336" s="81">
        <f>SUM(P337)</f>
        <v>0</v>
      </c>
      <c r="Q336" s="62">
        <f t="shared" si="468"/>
        <v>52608.873845424001</v>
      </c>
      <c r="R336" s="69">
        <f t="shared" si="427"/>
        <v>0</v>
      </c>
      <c r="S336" s="83"/>
      <c r="T336" s="82"/>
      <c r="U336" s="81">
        <f>SUM(U337)</f>
        <v>4535.2477452951725</v>
      </c>
      <c r="V336" s="62">
        <f t="shared" si="460"/>
        <v>52608.873845424001</v>
      </c>
      <c r="W336" s="69">
        <f t="shared" si="428"/>
        <v>0</v>
      </c>
      <c r="X336" s="83"/>
      <c r="Y336" s="82"/>
      <c r="Z336" s="81">
        <f>SUM(Z337)</f>
        <v>33560.833315184274</v>
      </c>
      <c r="AA336" s="68">
        <f t="shared" si="461"/>
        <v>57144.121590719173</v>
      </c>
      <c r="AB336" s="69">
        <f t="shared" si="424"/>
        <v>0</v>
      </c>
      <c r="AC336" s="83"/>
      <c r="AD336" s="82"/>
      <c r="AE336" s="81">
        <f>SUM(AE337)</f>
        <v>0</v>
      </c>
      <c r="AF336" s="81">
        <f>SUM(AF337)</f>
        <v>90704.954905903447</v>
      </c>
      <c r="AG336" s="82"/>
      <c r="AH336" s="83"/>
    </row>
    <row r="337" spans="1:34" ht="15" customHeight="1" outlineLevel="1" x14ac:dyDescent="0.25">
      <c r="A337" s="67"/>
      <c r="B337" s="66"/>
      <c r="C337" s="67" t="s">
        <v>94</v>
      </c>
      <c r="D337" s="68"/>
      <c r="E337" s="68">
        <v>68734</v>
      </c>
      <c r="F337" s="68">
        <f t="shared" si="425"/>
        <v>90704.954905903447</v>
      </c>
      <c r="G337" s="69">
        <v>1</v>
      </c>
      <c r="H337" s="67" t="s">
        <v>34</v>
      </c>
      <c r="I337" s="68">
        <f t="shared" si="400"/>
        <v>90704.954905903447</v>
      </c>
      <c r="J337" s="69"/>
      <c r="K337" s="68">
        <f>+J337*$I337</f>
        <v>0</v>
      </c>
      <c r="L337" s="62">
        <f t="shared" si="467"/>
        <v>52608.873845424001</v>
      </c>
      <c r="M337" s="69">
        <f t="shared" si="426"/>
        <v>0.57999999999999996</v>
      </c>
      <c r="N337" s="70">
        <f t="shared" ref="N337" si="476">100%-(L337/$F337)</f>
        <v>0.41999999999999993</v>
      </c>
      <c r="O337" s="69">
        <v>0</v>
      </c>
      <c r="P337" s="68">
        <f>+O337*$I337</f>
        <v>0</v>
      </c>
      <c r="Q337" s="62">
        <f t="shared" si="468"/>
        <v>52608.873845424001</v>
      </c>
      <c r="R337" s="69">
        <f t="shared" si="427"/>
        <v>0.57999999999999996</v>
      </c>
      <c r="S337" s="70">
        <f t="shared" ref="S337" si="477">100%-(Q337/$F337)</f>
        <v>0.41999999999999993</v>
      </c>
      <c r="T337" s="69">
        <v>0.05</v>
      </c>
      <c r="U337" s="68">
        <f>+T337*$I337</f>
        <v>4535.2477452951725</v>
      </c>
      <c r="V337" s="62">
        <f t="shared" si="460"/>
        <v>52608.873845424001</v>
      </c>
      <c r="W337" s="69">
        <f t="shared" si="428"/>
        <v>0.57999999999999996</v>
      </c>
      <c r="X337" s="70">
        <f t="shared" ref="X337" si="478">100%-(V337/$F337)</f>
        <v>0.41999999999999993</v>
      </c>
      <c r="Y337" s="69">
        <v>0.37</v>
      </c>
      <c r="Z337" s="68">
        <f>+Y337*I337</f>
        <v>33560.833315184274</v>
      </c>
      <c r="AA337" s="68">
        <f t="shared" si="461"/>
        <v>57144.121590719173</v>
      </c>
      <c r="AB337" s="69">
        <f t="shared" si="424"/>
        <v>0.63</v>
      </c>
      <c r="AC337" s="70">
        <f t="shared" ref="AC337" si="479">100%-(AA337/$F337)</f>
        <v>0.37</v>
      </c>
      <c r="AD337" s="69"/>
      <c r="AE337" s="68">
        <f>AD337*I337</f>
        <v>0</v>
      </c>
      <c r="AF337" s="68">
        <f>F337-AE337</f>
        <v>90704.954905903447</v>
      </c>
      <c r="AG337" s="69">
        <f>G337-AD337</f>
        <v>1</v>
      </c>
      <c r="AH337" s="70">
        <f t="shared" ref="AH337" si="480">100%-(AF337/$F337)</f>
        <v>0</v>
      </c>
    </row>
    <row r="338" spans="1:34" ht="15" customHeight="1" outlineLevel="2" x14ac:dyDescent="0.25">
      <c r="B338" s="71">
        <v>5490</v>
      </c>
      <c r="C338" s="56" t="s">
        <v>94</v>
      </c>
      <c r="E338" s="73">
        <v>68734</v>
      </c>
      <c r="F338" s="74">
        <f t="shared" si="425"/>
        <v>90704.954905903447</v>
      </c>
      <c r="G338" s="75">
        <v>1</v>
      </c>
      <c r="H338" s="56" t="s">
        <v>34</v>
      </c>
      <c r="I338" s="73">
        <f t="shared" ref="I338" si="481">F338/G338</f>
        <v>90704.954905903447</v>
      </c>
      <c r="L338" s="62">
        <f t="shared" si="467"/>
        <v>0</v>
      </c>
      <c r="M338" s="69">
        <f t="shared" si="426"/>
        <v>0</v>
      </c>
      <c r="Q338" s="62">
        <f t="shared" si="468"/>
        <v>0</v>
      </c>
      <c r="R338" s="69">
        <f t="shared" si="427"/>
        <v>0</v>
      </c>
      <c r="V338" s="62">
        <f t="shared" si="460"/>
        <v>0</v>
      </c>
      <c r="W338" s="69">
        <f t="shared" si="428"/>
        <v>0</v>
      </c>
      <c r="Y338" s="75">
        <f>$AD$337*B338/$G$337</f>
        <v>0</v>
      </c>
      <c r="AA338" s="68">
        <f t="shared" si="461"/>
        <v>0</v>
      </c>
      <c r="AB338" s="69">
        <f t="shared" si="424"/>
        <v>0</v>
      </c>
      <c r="AD338" s="75">
        <f>$AD$337*G338/$G$337</f>
        <v>0</v>
      </c>
    </row>
    <row r="339" spans="1:34" ht="15" customHeight="1" outlineLevel="1" x14ac:dyDescent="0.25">
      <c r="A339" s="79"/>
      <c r="B339" s="80"/>
      <c r="C339" s="79" t="s">
        <v>96</v>
      </c>
      <c r="D339" s="81"/>
      <c r="E339" s="81">
        <v>226250</v>
      </c>
      <c r="F339" s="81">
        <f t="shared" si="425"/>
        <v>298571.24636221747</v>
      </c>
      <c r="G339" s="82"/>
      <c r="H339" s="79"/>
      <c r="I339" s="81"/>
      <c r="J339" s="82"/>
      <c r="K339" s="81">
        <f>SUM(K340)</f>
        <v>0</v>
      </c>
      <c r="L339" s="62">
        <f t="shared" si="467"/>
        <v>194071.31013544137</v>
      </c>
      <c r="M339" s="69">
        <f t="shared" si="426"/>
        <v>0</v>
      </c>
      <c r="N339" s="83"/>
      <c r="O339" s="82"/>
      <c r="P339" s="81">
        <f>SUM(P340)</f>
        <v>0</v>
      </c>
      <c r="Q339" s="62">
        <f t="shared" si="468"/>
        <v>194071.31013544137</v>
      </c>
      <c r="R339" s="69">
        <f t="shared" si="427"/>
        <v>0</v>
      </c>
      <c r="S339" s="83"/>
      <c r="T339" s="82"/>
      <c r="U339" s="81">
        <f>SUM(U340)</f>
        <v>44785.686954332617</v>
      </c>
      <c r="V339" s="62">
        <f t="shared" si="460"/>
        <v>194071.31013544137</v>
      </c>
      <c r="W339" s="69">
        <f t="shared" si="428"/>
        <v>0</v>
      </c>
      <c r="X339" s="83"/>
      <c r="Y339" s="82"/>
      <c r="Z339" s="81">
        <f>SUM(Z340)</f>
        <v>32842.83709984392</v>
      </c>
      <c r="AA339" s="68">
        <f t="shared" si="461"/>
        <v>238856.99708977397</v>
      </c>
      <c r="AB339" s="69">
        <f t="shared" si="424"/>
        <v>0</v>
      </c>
      <c r="AC339" s="83"/>
      <c r="AD339" s="82"/>
      <c r="AE339" s="81">
        <f>SUM(AE340)</f>
        <v>26871.412172599572</v>
      </c>
      <c r="AF339" s="81">
        <f>SUM(AF340)</f>
        <v>271699.83418961789</v>
      </c>
      <c r="AG339" s="82"/>
      <c r="AH339" s="83"/>
    </row>
    <row r="340" spans="1:34" ht="15" customHeight="1" outlineLevel="1" x14ac:dyDescent="0.25">
      <c r="A340" s="67"/>
      <c r="B340" s="66"/>
      <c r="C340" s="67" t="s">
        <v>96</v>
      </c>
      <c r="D340" s="68"/>
      <c r="E340" s="68">
        <v>226250</v>
      </c>
      <c r="F340" s="68">
        <f t="shared" si="425"/>
        <v>298571.24636221747</v>
      </c>
      <c r="G340" s="69">
        <v>1</v>
      </c>
      <c r="H340" s="67" t="s">
        <v>34</v>
      </c>
      <c r="I340" s="68">
        <f t="shared" si="400"/>
        <v>298571.24636221747</v>
      </c>
      <c r="J340" s="69"/>
      <c r="K340" s="68">
        <f>+J340*$I340</f>
        <v>0</v>
      </c>
      <c r="L340" s="62">
        <f t="shared" si="467"/>
        <v>194071.31013544137</v>
      </c>
      <c r="M340" s="69">
        <f t="shared" si="426"/>
        <v>0.65</v>
      </c>
      <c r="N340" s="70">
        <f t="shared" ref="N340" si="482">100%-(L340/$F340)</f>
        <v>0.35</v>
      </c>
      <c r="O340" s="69">
        <v>0</v>
      </c>
      <c r="P340" s="68">
        <f>+O340*$I340</f>
        <v>0</v>
      </c>
      <c r="Q340" s="62">
        <f t="shared" si="468"/>
        <v>194071.31013544137</v>
      </c>
      <c r="R340" s="69">
        <f t="shared" si="427"/>
        <v>0.65</v>
      </c>
      <c r="S340" s="70">
        <f t="shared" ref="S340" si="483">100%-(Q340/$F340)</f>
        <v>0.35</v>
      </c>
      <c r="T340" s="69">
        <v>0.15</v>
      </c>
      <c r="U340" s="68">
        <f>+T340*$I340</f>
        <v>44785.686954332617</v>
      </c>
      <c r="V340" s="62">
        <f t="shared" si="460"/>
        <v>194071.31013544137</v>
      </c>
      <c r="W340" s="69">
        <f t="shared" si="428"/>
        <v>0.65</v>
      </c>
      <c r="X340" s="70">
        <f t="shared" ref="X340" si="484">100%-(V340/$F340)</f>
        <v>0.35</v>
      </c>
      <c r="Y340" s="69">
        <v>0.11</v>
      </c>
      <c r="Z340" s="68">
        <f>+Y340*I340</f>
        <v>32842.83709984392</v>
      </c>
      <c r="AA340" s="68">
        <f t="shared" si="461"/>
        <v>238856.99708977397</v>
      </c>
      <c r="AB340" s="69">
        <f t="shared" si="424"/>
        <v>0.8</v>
      </c>
      <c r="AC340" s="70">
        <f t="shared" ref="AC340" si="485">100%-(AA340/$F340)</f>
        <v>0.20000000000000007</v>
      </c>
      <c r="AD340" s="69">
        <v>0.09</v>
      </c>
      <c r="AE340" s="68">
        <f>AD340*I340</f>
        <v>26871.412172599572</v>
      </c>
      <c r="AF340" s="68">
        <f>F340-AE340</f>
        <v>271699.83418961789</v>
      </c>
      <c r="AG340" s="69">
        <f>G340-AD340</f>
        <v>0.91</v>
      </c>
      <c r="AH340" s="70">
        <f t="shared" ref="AH340" si="486">100%-(AF340/$F340)</f>
        <v>8.9999999999999969E-2</v>
      </c>
    </row>
    <row r="341" spans="1:34" ht="15" customHeight="1" outlineLevel="2" x14ac:dyDescent="0.25">
      <c r="B341" s="71">
        <v>6480</v>
      </c>
      <c r="C341" s="56" t="s">
        <v>96</v>
      </c>
      <c r="E341" s="73">
        <v>226250</v>
      </c>
      <c r="F341" s="74">
        <f t="shared" si="425"/>
        <v>298571.24636221747</v>
      </c>
      <c r="G341" s="75">
        <v>1</v>
      </c>
      <c r="H341" s="56" t="s">
        <v>34</v>
      </c>
      <c r="I341" s="73">
        <f t="shared" ref="I341" si="487">F341/G341</f>
        <v>298571.24636221747</v>
      </c>
      <c r="L341" s="62">
        <f t="shared" si="467"/>
        <v>0</v>
      </c>
      <c r="M341" s="69">
        <f t="shared" si="426"/>
        <v>0</v>
      </c>
      <c r="Q341" s="62">
        <f t="shared" si="468"/>
        <v>0</v>
      </c>
      <c r="R341" s="69"/>
      <c r="V341" s="62">
        <f t="shared" si="460"/>
        <v>0</v>
      </c>
      <c r="W341" s="69">
        <f t="shared" si="428"/>
        <v>-583.19999999999993</v>
      </c>
      <c r="Y341" s="75">
        <f>$AD$340*B341/$G$340</f>
        <v>583.19999999999993</v>
      </c>
      <c r="AA341" s="68">
        <f t="shared" si="461"/>
        <v>0</v>
      </c>
      <c r="AB341" s="69">
        <f t="shared" si="424"/>
        <v>-583.19999999999993</v>
      </c>
      <c r="AD341" s="75">
        <f>$AD$340*G341/$G$340</f>
        <v>0.09</v>
      </c>
    </row>
    <row r="342" spans="1:34" ht="15" customHeight="1" outlineLevel="1" x14ac:dyDescent="0.25">
      <c r="A342" s="79"/>
      <c r="B342" s="80"/>
      <c r="C342" s="79" t="s">
        <v>163</v>
      </c>
      <c r="D342" s="81"/>
      <c r="E342" s="81">
        <v>5000</v>
      </c>
      <c r="F342" s="81">
        <f t="shared" si="425"/>
        <v>6598.2595881153029</v>
      </c>
      <c r="G342" s="82"/>
      <c r="H342" s="79"/>
      <c r="I342" s="81"/>
      <c r="J342" s="82"/>
      <c r="K342" s="81"/>
      <c r="L342" s="62">
        <f t="shared" si="467"/>
        <v>6598.2595881153029</v>
      </c>
      <c r="M342" s="69">
        <f t="shared" si="426"/>
        <v>0</v>
      </c>
      <c r="N342" s="83"/>
      <c r="O342" s="82"/>
      <c r="P342" s="81"/>
      <c r="Q342" s="62">
        <f t="shared" si="468"/>
        <v>6598.2595881153029</v>
      </c>
      <c r="R342" s="69">
        <f t="shared" si="427"/>
        <v>0</v>
      </c>
      <c r="S342" s="83"/>
      <c r="T342" s="82"/>
      <c r="U342" s="81"/>
      <c r="V342" s="62">
        <f t="shared" si="460"/>
        <v>6598.2595881153029</v>
      </c>
      <c r="W342" s="69">
        <f t="shared" si="428"/>
        <v>0</v>
      </c>
      <c r="X342" s="83"/>
      <c r="Y342" s="82"/>
      <c r="Z342" s="81">
        <f>SUM(Z343)</f>
        <v>0</v>
      </c>
      <c r="AA342" s="68">
        <f t="shared" si="461"/>
        <v>6598.2595881153029</v>
      </c>
      <c r="AB342" s="69">
        <f t="shared" si="424"/>
        <v>0</v>
      </c>
      <c r="AC342" s="83"/>
      <c r="AD342" s="82"/>
      <c r="AE342" s="81">
        <f>SUM(AE343)</f>
        <v>0</v>
      </c>
      <c r="AF342" s="81">
        <f>SUM(AF343)</f>
        <v>6598.2595881153029</v>
      </c>
      <c r="AG342" s="82"/>
      <c r="AH342" s="83"/>
    </row>
    <row r="343" spans="1:34" ht="15" customHeight="1" outlineLevel="1" x14ac:dyDescent="0.25">
      <c r="A343" s="67"/>
      <c r="B343" s="66"/>
      <c r="C343" s="67" t="s">
        <v>163</v>
      </c>
      <c r="D343" s="68"/>
      <c r="E343" s="68">
        <v>5000</v>
      </c>
      <c r="F343" s="68">
        <f t="shared" si="425"/>
        <v>6598.2595881153029</v>
      </c>
      <c r="G343" s="69">
        <v>1</v>
      </c>
      <c r="H343" s="67" t="s">
        <v>34</v>
      </c>
      <c r="I343" s="68">
        <f t="shared" si="400"/>
        <v>6598.2595881153029</v>
      </c>
      <c r="J343" s="69"/>
      <c r="K343" s="68"/>
      <c r="L343" s="62">
        <f t="shared" si="467"/>
        <v>6598.2595881153029</v>
      </c>
      <c r="M343" s="69">
        <f t="shared" si="426"/>
        <v>1</v>
      </c>
      <c r="N343" s="70">
        <f t="shared" ref="N343" si="488">100%-(L343/$F343)</f>
        <v>0</v>
      </c>
      <c r="O343" s="69"/>
      <c r="P343" s="68"/>
      <c r="Q343" s="62">
        <f t="shared" si="468"/>
        <v>6598.2595881153029</v>
      </c>
      <c r="R343" s="69">
        <f t="shared" si="427"/>
        <v>1</v>
      </c>
      <c r="S343" s="70">
        <f t="shared" ref="S343" si="489">100%-(Q343/$F343)</f>
        <v>0</v>
      </c>
      <c r="T343" s="69"/>
      <c r="U343" s="68"/>
      <c r="V343" s="62">
        <f t="shared" si="460"/>
        <v>6598.2595881153029</v>
      </c>
      <c r="W343" s="69">
        <f t="shared" si="428"/>
        <v>1</v>
      </c>
      <c r="X343" s="70">
        <f t="shared" ref="X343" si="490">100%-(V343/$F343)</f>
        <v>0</v>
      </c>
      <c r="Y343" s="69"/>
      <c r="Z343" s="68">
        <f>Y343*D343</f>
        <v>0</v>
      </c>
      <c r="AA343" s="68">
        <f t="shared" si="461"/>
        <v>6598.2595881153029</v>
      </c>
      <c r="AB343" s="69">
        <f t="shared" si="424"/>
        <v>1</v>
      </c>
      <c r="AC343" s="70">
        <f t="shared" ref="AC343" si="491">100%-(AA343/$F343)</f>
        <v>0</v>
      </c>
      <c r="AD343" s="69"/>
      <c r="AE343" s="68">
        <f>AD343*I343</f>
        <v>0</v>
      </c>
      <c r="AF343" s="68">
        <f>F343-AE343</f>
        <v>6598.2595881153029</v>
      </c>
      <c r="AG343" s="69">
        <f>G343-AD343</f>
        <v>1</v>
      </c>
      <c r="AH343" s="70">
        <f t="shared" ref="AH343" si="492">100%-(AF343/$F343)</f>
        <v>0</v>
      </c>
    </row>
    <row r="344" spans="1:34" ht="15" customHeight="1" outlineLevel="2" x14ac:dyDescent="0.25">
      <c r="B344" s="71">
        <v>3290</v>
      </c>
      <c r="C344" s="56" t="s">
        <v>163</v>
      </c>
      <c r="E344" s="73">
        <v>5000</v>
      </c>
      <c r="F344" s="74">
        <f t="shared" si="425"/>
        <v>6598.2595881153029</v>
      </c>
      <c r="G344" s="75">
        <v>1</v>
      </c>
      <c r="H344" s="56" t="s">
        <v>34</v>
      </c>
      <c r="I344" s="73">
        <f t="shared" ref="I344" si="493">F344/G344</f>
        <v>6598.2595881153029</v>
      </c>
      <c r="L344" s="62">
        <f t="shared" si="467"/>
        <v>0</v>
      </c>
      <c r="M344" s="69">
        <f t="shared" si="426"/>
        <v>0</v>
      </c>
      <c r="Q344" s="62">
        <f t="shared" si="468"/>
        <v>0</v>
      </c>
      <c r="R344" s="69"/>
      <c r="V344" s="62">
        <f t="shared" si="460"/>
        <v>0</v>
      </c>
      <c r="W344" s="69">
        <f t="shared" si="428"/>
        <v>0</v>
      </c>
      <c r="Y344" s="75">
        <f>$AD$343*B344/$G$343</f>
        <v>0</v>
      </c>
      <c r="AA344" s="68">
        <f t="shared" si="461"/>
        <v>0</v>
      </c>
      <c r="AB344" s="69">
        <f t="shared" si="424"/>
        <v>0</v>
      </c>
      <c r="AD344" s="75">
        <f>$AD$343*G344/$G$343</f>
        <v>0</v>
      </c>
    </row>
    <row r="345" spans="1:34" ht="15" customHeight="1" x14ac:dyDescent="0.25">
      <c r="A345" s="60">
        <v>5</v>
      </c>
      <c r="B345" s="60"/>
      <c r="C345" s="61" t="s">
        <v>30</v>
      </c>
      <c r="D345" s="62">
        <f>_xlfn.XLOOKUP(A345,SOV!$A$9:$A$27,SOV!$C$9:$C$27)</f>
        <v>748900</v>
      </c>
      <c r="E345" s="62">
        <v>567925.56999999995</v>
      </c>
      <c r="F345" s="62"/>
      <c r="G345" s="63"/>
      <c r="H345" s="64"/>
      <c r="I345" s="62"/>
      <c r="J345" s="63"/>
      <c r="K345" s="62">
        <f>SUM(K346,K348,K350,K354,K357,K361,K365,K367,K369)</f>
        <v>99267.640010369854</v>
      </c>
      <c r="L345" s="62">
        <f t="shared" si="467"/>
        <v>261938.4327027355</v>
      </c>
      <c r="M345" s="69">
        <f t="shared" si="426"/>
        <v>0</v>
      </c>
      <c r="N345" s="65"/>
      <c r="O345" s="63"/>
      <c r="P345" s="62">
        <f>SUM(P346,P348,P350,P354,P357,P361,P365,P367,P369)</f>
        <v>206658.15950320751</v>
      </c>
      <c r="Q345" s="62">
        <f t="shared" si="468"/>
        <v>361206.07271310536</v>
      </c>
      <c r="R345" s="69">
        <f t="shared" si="427"/>
        <v>0</v>
      </c>
      <c r="S345" s="65"/>
      <c r="T345" s="63"/>
      <c r="U345" s="62">
        <f>SUM(U346,U348,U350,U354,U357,U361,U365,U367,U369)</f>
        <v>34116.767947946755</v>
      </c>
      <c r="V345" s="62">
        <f t="shared" si="460"/>
        <v>567864.2322163129</v>
      </c>
      <c r="W345" s="69">
        <f t="shared" si="428"/>
        <v>0</v>
      </c>
      <c r="X345" s="65"/>
      <c r="Y345" s="63"/>
      <c r="Z345" s="62">
        <f>SUM(Z346,Z348,Z350,Z354,Z357,Z361,Z365,Z367,Z369)</f>
        <v>125930.17680257659</v>
      </c>
      <c r="AA345" s="68">
        <f t="shared" si="461"/>
        <v>601981.00016425969</v>
      </c>
      <c r="AB345" s="69">
        <f t="shared" si="424"/>
        <v>0</v>
      </c>
      <c r="AC345" s="65"/>
      <c r="AD345" s="63"/>
      <c r="AE345" s="62">
        <f>SUM(AE346,AE348,AE350,AE354,AE357,AE361,AE365,AE367,AE369)</f>
        <v>20988.849406337966</v>
      </c>
      <c r="AF345" s="62">
        <f>SUM(AF346,AF348,AF350,AF354,AF357,AF361,AF365,AF367,AF369)</f>
        <v>727911.17696683633</v>
      </c>
      <c r="AG345" s="63"/>
      <c r="AH345" s="65"/>
    </row>
    <row r="346" spans="1:34" ht="15" customHeight="1" outlineLevel="1" x14ac:dyDescent="0.25">
      <c r="A346" s="67"/>
      <c r="B346" s="66"/>
      <c r="C346" s="67" t="s">
        <v>71</v>
      </c>
      <c r="D346" s="68"/>
      <c r="E346" s="68">
        <v>6872.5</v>
      </c>
      <c r="F346" s="68">
        <f t="shared" ref="F346:F375" si="494">$D$345/$E$345*E346</f>
        <v>9062.4819903777188</v>
      </c>
      <c r="G346" s="69">
        <v>1205</v>
      </c>
      <c r="H346" s="67" t="s">
        <v>42</v>
      </c>
      <c r="I346" s="68">
        <f t="shared" si="400"/>
        <v>7.5207319422221737</v>
      </c>
      <c r="J346" s="69">
        <v>200</v>
      </c>
      <c r="K346" s="68">
        <f t="shared" ref="K346:K353" si="495">+J346*$I346</f>
        <v>1504.1463884444347</v>
      </c>
      <c r="L346" s="62">
        <f t="shared" si="467"/>
        <v>4550.0428250444147</v>
      </c>
      <c r="M346" s="69">
        <f t="shared" si="426"/>
        <v>605</v>
      </c>
      <c r="N346" s="70">
        <f t="shared" ref="N346" si="496">100%-(L346/$F346)</f>
        <v>0.49792531120331951</v>
      </c>
      <c r="O346" s="69"/>
      <c r="P346" s="68">
        <f t="shared" ref="P346:P353" si="497">+O346*$I346</f>
        <v>0</v>
      </c>
      <c r="Q346" s="62">
        <f t="shared" si="468"/>
        <v>6054.1892134888494</v>
      </c>
      <c r="R346" s="69">
        <f t="shared" si="427"/>
        <v>805</v>
      </c>
      <c r="S346" s="70">
        <f t="shared" ref="S346" si="498">100%-(Q346/$F346)</f>
        <v>0.33195020746887971</v>
      </c>
      <c r="T346" s="69"/>
      <c r="U346" s="68">
        <f t="shared" ref="U346:U353" si="499">+T346*$I346</f>
        <v>0</v>
      </c>
      <c r="V346" s="62">
        <f t="shared" si="460"/>
        <v>6054.1892134888494</v>
      </c>
      <c r="W346" s="69">
        <f t="shared" si="428"/>
        <v>805</v>
      </c>
      <c r="X346" s="70">
        <f t="shared" ref="X346" si="500">100%-(V346/$F346)</f>
        <v>0.33195020746887971</v>
      </c>
      <c r="Y346" s="69">
        <v>200</v>
      </c>
      <c r="Z346" s="68">
        <f t="shared" ref="Z346:Z369" si="501">+Y346*I346</f>
        <v>1504.1463884444347</v>
      </c>
      <c r="AA346" s="68">
        <f t="shared" si="461"/>
        <v>6054.1892134888494</v>
      </c>
      <c r="AB346" s="69">
        <f t="shared" si="424"/>
        <v>805</v>
      </c>
      <c r="AC346" s="70">
        <f t="shared" ref="AC346" si="502">100%-(AA346/$F346)</f>
        <v>0.33195020746887971</v>
      </c>
      <c r="AD346" s="69">
        <v>200</v>
      </c>
      <c r="AE346" s="68">
        <f>AD346*I346</f>
        <v>1504.1463884444347</v>
      </c>
      <c r="AF346" s="68">
        <f>F346-AE346</f>
        <v>7558.3356019332841</v>
      </c>
      <c r="AG346" s="69">
        <f>G346-AD346</f>
        <v>1005</v>
      </c>
      <c r="AH346" s="70">
        <f t="shared" ref="AH346" si="503">100%-(AF346/$F346)</f>
        <v>0.1659751037344398</v>
      </c>
    </row>
    <row r="347" spans="1:34" ht="15" customHeight="1" outlineLevel="2" x14ac:dyDescent="0.25">
      <c r="B347" s="71">
        <v>2132</v>
      </c>
      <c r="C347" s="56" t="s">
        <v>71</v>
      </c>
      <c r="E347" s="73">
        <v>6872.5</v>
      </c>
      <c r="F347" s="74">
        <f t="shared" si="494"/>
        <v>9062.4819903777188</v>
      </c>
      <c r="G347" s="75">
        <v>1205</v>
      </c>
      <c r="H347" s="56" t="s">
        <v>42</v>
      </c>
      <c r="I347" s="73">
        <f t="shared" ref="I347" si="504">F347/G347</f>
        <v>7.5207319422221737</v>
      </c>
      <c r="K347" s="68">
        <f t="shared" si="495"/>
        <v>0</v>
      </c>
      <c r="L347" s="62">
        <f t="shared" si="467"/>
        <v>0</v>
      </c>
      <c r="M347" s="69">
        <f t="shared" si="426"/>
        <v>0</v>
      </c>
      <c r="P347" s="68">
        <f t="shared" si="497"/>
        <v>0</v>
      </c>
      <c r="Q347" s="62">
        <f t="shared" si="468"/>
        <v>0</v>
      </c>
      <c r="R347" s="69">
        <f t="shared" si="427"/>
        <v>0</v>
      </c>
      <c r="U347" s="68">
        <f t="shared" si="499"/>
        <v>0</v>
      </c>
      <c r="V347" s="62">
        <f t="shared" si="460"/>
        <v>0</v>
      </c>
      <c r="W347" s="69">
        <f t="shared" si="428"/>
        <v>0</v>
      </c>
      <c r="Z347" s="68">
        <f t="shared" si="501"/>
        <v>0</v>
      </c>
      <c r="AA347" s="68">
        <f t="shared" si="461"/>
        <v>0</v>
      </c>
      <c r="AB347" s="69">
        <f t="shared" si="424"/>
        <v>0</v>
      </c>
      <c r="AD347" s="75">
        <f>$AD$346*G347/$G$346</f>
        <v>200</v>
      </c>
    </row>
    <row r="348" spans="1:34" ht="15" customHeight="1" outlineLevel="1" x14ac:dyDescent="0.25">
      <c r="A348" s="67"/>
      <c r="B348" s="66"/>
      <c r="C348" s="67" t="s">
        <v>72</v>
      </c>
      <c r="D348" s="68"/>
      <c r="E348" s="68">
        <v>16485.36</v>
      </c>
      <c r="F348" s="68">
        <f t="shared" si="494"/>
        <v>21738.563565644705</v>
      </c>
      <c r="G348" s="69">
        <v>1024</v>
      </c>
      <c r="H348" s="67" t="s">
        <v>42</v>
      </c>
      <c r="I348" s="68">
        <f t="shared" si="400"/>
        <v>21.229065982074907</v>
      </c>
      <c r="J348" s="69">
        <v>225</v>
      </c>
      <c r="K348" s="68">
        <f t="shared" si="495"/>
        <v>4776.539845966854</v>
      </c>
      <c r="L348" s="62">
        <f t="shared" si="467"/>
        <v>16962.023719677851</v>
      </c>
      <c r="M348" s="69">
        <f t="shared" si="426"/>
        <v>799</v>
      </c>
      <c r="N348" s="70">
        <f t="shared" ref="N348" si="505">100%-(L348/$F348)</f>
        <v>0.2197265625</v>
      </c>
      <c r="O348" s="69"/>
      <c r="P348" s="68">
        <f t="shared" si="497"/>
        <v>0</v>
      </c>
      <c r="Q348" s="62">
        <f t="shared" si="468"/>
        <v>21738.563565644705</v>
      </c>
      <c r="R348" s="69">
        <f t="shared" si="427"/>
        <v>1024</v>
      </c>
      <c r="S348" s="70">
        <f t="shared" ref="S348" si="506">100%-(Q348/$F348)</f>
        <v>0</v>
      </c>
      <c r="T348" s="69"/>
      <c r="U348" s="68">
        <f t="shared" si="499"/>
        <v>0</v>
      </c>
      <c r="V348" s="62">
        <f t="shared" si="460"/>
        <v>21738.563565644705</v>
      </c>
      <c r="W348" s="69">
        <f t="shared" si="428"/>
        <v>1024</v>
      </c>
      <c r="X348" s="70">
        <f t="shared" ref="X348" si="507">100%-(V348/$F348)</f>
        <v>0</v>
      </c>
      <c r="Y348" s="69"/>
      <c r="Z348" s="68">
        <f t="shared" si="501"/>
        <v>0</v>
      </c>
      <c r="AA348" s="68">
        <f t="shared" si="461"/>
        <v>21738.563565644705</v>
      </c>
      <c r="AB348" s="69">
        <f t="shared" si="424"/>
        <v>1024</v>
      </c>
      <c r="AC348" s="70">
        <f t="shared" ref="AC348" si="508">100%-(AA348/$F348)</f>
        <v>0</v>
      </c>
      <c r="AD348" s="69"/>
      <c r="AE348" s="68">
        <f>AD348*I348</f>
        <v>0</v>
      </c>
      <c r="AF348" s="68">
        <f>F348-AE348</f>
        <v>21738.563565644705</v>
      </c>
      <c r="AG348" s="69">
        <f>G348-AD348</f>
        <v>1024</v>
      </c>
      <c r="AH348" s="70">
        <f t="shared" ref="AH348" si="509">100%-(AF348/$F348)</f>
        <v>0</v>
      </c>
    </row>
    <row r="349" spans="1:34" ht="15" customHeight="1" outlineLevel="2" x14ac:dyDescent="0.25">
      <c r="B349" s="71">
        <v>2133</v>
      </c>
      <c r="C349" s="56" t="s">
        <v>72</v>
      </c>
      <c r="E349" s="73">
        <v>16485.36</v>
      </c>
      <c r="F349" s="74">
        <f t="shared" si="494"/>
        <v>21738.563565644705</v>
      </c>
      <c r="G349" s="75">
        <v>1024</v>
      </c>
      <c r="H349" s="56" t="s">
        <v>42</v>
      </c>
      <c r="I349" s="73">
        <f t="shared" ref="I349" si="510">F349/G349</f>
        <v>21.229065982074907</v>
      </c>
      <c r="K349" s="68">
        <f t="shared" si="495"/>
        <v>0</v>
      </c>
      <c r="L349" s="62">
        <f t="shared" si="467"/>
        <v>0</v>
      </c>
      <c r="M349" s="69">
        <f t="shared" si="426"/>
        <v>0</v>
      </c>
      <c r="P349" s="68">
        <f t="shared" si="497"/>
        <v>0</v>
      </c>
      <c r="Q349" s="62">
        <f t="shared" si="468"/>
        <v>0</v>
      </c>
      <c r="R349" s="69">
        <f t="shared" si="427"/>
        <v>0</v>
      </c>
      <c r="U349" s="68">
        <f t="shared" si="499"/>
        <v>0</v>
      </c>
      <c r="V349" s="62">
        <f t="shared" si="460"/>
        <v>0</v>
      </c>
      <c r="W349" s="69">
        <f t="shared" si="428"/>
        <v>0</v>
      </c>
      <c r="Z349" s="68">
        <f t="shared" si="501"/>
        <v>0</v>
      </c>
      <c r="AA349" s="68">
        <f t="shared" si="461"/>
        <v>0</v>
      </c>
      <c r="AB349" s="69">
        <f t="shared" si="424"/>
        <v>0</v>
      </c>
      <c r="AD349" s="75">
        <f>$AD$348*G349/$G$348</f>
        <v>0</v>
      </c>
    </row>
    <row r="350" spans="1:34" ht="15" customHeight="1" outlineLevel="1" x14ac:dyDescent="0.25">
      <c r="A350" s="67"/>
      <c r="B350" s="66"/>
      <c r="C350" s="67" t="s">
        <v>212</v>
      </c>
      <c r="D350" s="68"/>
      <c r="E350" s="68">
        <v>13349.77</v>
      </c>
      <c r="F350" s="68">
        <f t="shared" si="494"/>
        <v>17603.79049846268</v>
      </c>
      <c r="G350" s="69">
        <v>10845</v>
      </c>
      <c r="H350" s="67" t="s">
        <v>41</v>
      </c>
      <c r="I350" s="68">
        <f t="shared" si="400"/>
        <v>1.623217196723161</v>
      </c>
      <c r="J350" s="69">
        <v>5500</v>
      </c>
      <c r="K350" s="68">
        <f t="shared" si="495"/>
        <v>8927.6945819773864</v>
      </c>
      <c r="L350" s="62">
        <f t="shared" si="467"/>
        <v>8676.0959164852939</v>
      </c>
      <c r="M350" s="69">
        <f t="shared" si="426"/>
        <v>5345</v>
      </c>
      <c r="N350" s="70">
        <f t="shared" ref="N350" si="511">100%-(L350/$F350)</f>
        <v>0.50714615029967736</v>
      </c>
      <c r="O350" s="69"/>
      <c r="P350" s="68">
        <f t="shared" si="497"/>
        <v>0</v>
      </c>
      <c r="Q350" s="62">
        <f t="shared" si="468"/>
        <v>17603.79049846268</v>
      </c>
      <c r="R350" s="69">
        <f t="shared" si="427"/>
        <v>10845</v>
      </c>
      <c r="S350" s="70">
        <f t="shared" ref="S350" si="512">100%-(Q350/$F350)</f>
        <v>0</v>
      </c>
      <c r="T350" s="69"/>
      <c r="U350" s="68">
        <f t="shared" si="499"/>
        <v>0</v>
      </c>
      <c r="V350" s="62">
        <f t="shared" si="460"/>
        <v>17603.79049846268</v>
      </c>
      <c r="W350" s="69">
        <f t="shared" si="428"/>
        <v>10845</v>
      </c>
      <c r="X350" s="70">
        <f t="shared" ref="X350" si="513">100%-(V350/$F350)</f>
        <v>0</v>
      </c>
      <c r="Y350" s="69"/>
      <c r="Z350" s="68">
        <f t="shared" si="501"/>
        <v>0</v>
      </c>
      <c r="AA350" s="68">
        <f t="shared" si="461"/>
        <v>17603.79049846268</v>
      </c>
      <c r="AB350" s="69">
        <f t="shared" si="424"/>
        <v>10845</v>
      </c>
      <c r="AC350" s="70">
        <f t="shared" ref="AC350" si="514">100%-(AA350/$F350)</f>
        <v>0</v>
      </c>
      <c r="AD350" s="69"/>
      <c r="AE350" s="68">
        <f>AD350*I350</f>
        <v>0</v>
      </c>
      <c r="AF350" s="68">
        <f>F350-AE350</f>
        <v>17603.79049846268</v>
      </c>
      <c r="AG350" s="69">
        <f>G350-AD350</f>
        <v>10845</v>
      </c>
      <c r="AH350" s="70">
        <f t="shared" ref="AH350" si="515">100%-(AF350/$F350)</f>
        <v>0</v>
      </c>
    </row>
    <row r="351" spans="1:34" ht="15" customHeight="1" outlineLevel="2" x14ac:dyDescent="0.25">
      <c r="B351" s="71">
        <v>2152</v>
      </c>
      <c r="C351" s="56" t="s">
        <v>73</v>
      </c>
      <c r="E351" s="73">
        <v>6206.61</v>
      </c>
      <c r="F351" s="74">
        <f t="shared" si="494"/>
        <v>8184.4003414038925</v>
      </c>
      <c r="G351" s="75">
        <v>10845</v>
      </c>
      <c r="H351" s="56" t="s">
        <v>41</v>
      </c>
      <c r="I351" s="73">
        <f t="shared" si="400"/>
        <v>0.75467038648260876</v>
      </c>
      <c r="K351" s="68">
        <f t="shared" si="495"/>
        <v>0</v>
      </c>
      <c r="L351" s="62">
        <f t="shared" si="467"/>
        <v>0</v>
      </c>
      <c r="M351" s="69">
        <f t="shared" si="426"/>
        <v>0</v>
      </c>
      <c r="P351" s="68">
        <f t="shared" si="497"/>
        <v>0</v>
      </c>
      <c r="Q351" s="62">
        <f t="shared" si="468"/>
        <v>0</v>
      </c>
      <c r="R351" s="69">
        <f t="shared" si="427"/>
        <v>0</v>
      </c>
      <c r="U351" s="68">
        <f t="shared" si="499"/>
        <v>0</v>
      </c>
      <c r="V351" s="62">
        <f t="shared" si="460"/>
        <v>0</v>
      </c>
      <c r="W351" s="69">
        <f t="shared" si="428"/>
        <v>0</v>
      </c>
      <c r="Z351" s="68">
        <f t="shared" si="501"/>
        <v>0</v>
      </c>
      <c r="AA351" s="68">
        <f t="shared" si="461"/>
        <v>0</v>
      </c>
      <c r="AB351" s="69">
        <f t="shared" si="424"/>
        <v>0</v>
      </c>
      <c r="AD351" s="75">
        <f>$AD$350*G351/$G$350</f>
        <v>0</v>
      </c>
    </row>
    <row r="352" spans="1:34" ht="15" customHeight="1" outlineLevel="2" x14ac:dyDescent="0.25">
      <c r="B352" s="71">
        <v>2185</v>
      </c>
      <c r="C352" s="56" t="s">
        <v>51</v>
      </c>
      <c r="E352" s="73">
        <v>4997.74</v>
      </c>
      <c r="F352" s="74">
        <f t="shared" si="494"/>
        <v>6590.3133856079066</v>
      </c>
      <c r="G352" s="75">
        <v>253.05</v>
      </c>
      <c r="H352" s="56" t="s">
        <v>43</v>
      </c>
      <c r="I352" s="73">
        <f t="shared" si="400"/>
        <v>26.043522567112849</v>
      </c>
      <c r="K352" s="68">
        <f t="shared" si="495"/>
        <v>0</v>
      </c>
      <c r="L352" s="62">
        <f t="shared" si="467"/>
        <v>0</v>
      </c>
      <c r="M352" s="69">
        <f t="shared" si="426"/>
        <v>0</v>
      </c>
      <c r="P352" s="68">
        <f t="shared" si="497"/>
        <v>0</v>
      </c>
      <c r="Q352" s="62">
        <f t="shared" si="468"/>
        <v>0</v>
      </c>
      <c r="R352" s="69">
        <f t="shared" si="427"/>
        <v>0</v>
      </c>
      <c r="U352" s="68">
        <f t="shared" si="499"/>
        <v>0</v>
      </c>
      <c r="V352" s="62">
        <f t="shared" si="460"/>
        <v>0</v>
      </c>
      <c r="W352" s="69">
        <f t="shared" si="428"/>
        <v>0</v>
      </c>
      <c r="Z352" s="68">
        <f t="shared" si="501"/>
        <v>0</v>
      </c>
      <c r="AA352" s="68">
        <f t="shared" si="461"/>
        <v>0</v>
      </c>
      <c r="AB352" s="69">
        <f t="shared" si="424"/>
        <v>0</v>
      </c>
      <c r="AD352" s="75">
        <f>$AD$350*G352/$G$350</f>
        <v>0</v>
      </c>
    </row>
    <row r="353" spans="1:34" ht="15" customHeight="1" outlineLevel="2" x14ac:dyDescent="0.25">
      <c r="B353" s="71">
        <v>2149</v>
      </c>
      <c r="C353" s="56" t="s">
        <v>48</v>
      </c>
      <c r="E353" s="73">
        <v>2145.42</v>
      </c>
      <c r="F353" s="74">
        <f t="shared" si="494"/>
        <v>2829.0767714508793</v>
      </c>
      <c r="G353" s="75">
        <v>253.05</v>
      </c>
      <c r="H353" s="56" t="s">
        <v>43</v>
      </c>
      <c r="I353" s="73">
        <f t="shared" si="400"/>
        <v>11.179912157482233</v>
      </c>
      <c r="K353" s="68">
        <f t="shared" si="495"/>
        <v>0</v>
      </c>
      <c r="L353" s="62">
        <f t="shared" si="467"/>
        <v>0</v>
      </c>
      <c r="M353" s="69">
        <f t="shared" si="426"/>
        <v>0</v>
      </c>
      <c r="P353" s="68">
        <f t="shared" si="497"/>
        <v>0</v>
      </c>
      <c r="Q353" s="62">
        <f t="shared" si="468"/>
        <v>0</v>
      </c>
      <c r="R353" s="69">
        <f t="shared" si="427"/>
        <v>0</v>
      </c>
      <c r="U353" s="68">
        <f t="shared" si="499"/>
        <v>0</v>
      </c>
      <c r="V353" s="62">
        <f t="shared" si="460"/>
        <v>0</v>
      </c>
      <c r="W353" s="69">
        <f t="shared" si="428"/>
        <v>0</v>
      </c>
      <c r="Z353" s="68">
        <f t="shared" si="501"/>
        <v>0</v>
      </c>
      <c r="AA353" s="68">
        <f t="shared" si="461"/>
        <v>0</v>
      </c>
      <c r="AB353" s="69">
        <f t="shared" si="424"/>
        <v>0</v>
      </c>
      <c r="AD353" s="75">
        <f>$AD$350*G353/$G$350</f>
        <v>0</v>
      </c>
    </row>
    <row r="354" spans="1:34" ht="15" customHeight="1" outlineLevel="1" x14ac:dyDescent="0.25">
      <c r="A354" s="67"/>
      <c r="B354" s="66"/>
      <c r="C354" s="67" t="s">
        <v>213</v>
      </c>
      <c r="D354" s="68"/>
      <c r="E354" s="68">
        <v>142572.49</v>
      </c>
      <c r="F354" s="68">
        <f t="shared" si="494"/>
        <v>188004.45586734192</v>
      </c>
      <c r="G354" s="69">
        <v>7015</v>
      </c>
      <c r="H354" s="67" t="s">
        <v>42</v>
      </c>
      <c r="I354" s="68">
        <f t="shared" si="400"/>
        <v>26.800350088003125</v>
      </c>
      <c r="J354" s="87">
        <v>3000</v>
      </c>
      <c r="K354" s="68">
        <f>+J354*$I354</f>
        <v>80401.050264009376</v>
      </c>
      <c r="L354" s="62">
        <f t="shared" si="467"/>
        <v>45962.600400925367</v>
      </c>
      <c r="M354" s="69">
        <f t="shared" si="426"/>
        <v>1715</v>
      </c>
      <c r="N354" s="70">
        <f t="shared" ref="N354" si="516">100%-(L354/$F354)</f>
        <v>0.75552387740555949</v>
      </c>
      <c r="O354" s="69">
        <v>0</v>
      </c>
      <c r="P354" s="68">
        <f>+O354*$I354</f>
        <v>0</v>
      </c>
      <c r="Q354" s="62">
        <f t="shared" si="468"/>
        <v>126363.65066493474</v>
      </c>
      <c r="R354" s="69">
        <f t="shared" si="427"/>
        <v>4715</v>
      </c>
      <c r="S354" s="70">
        <f t="shared" ref="S354" si="517">100%-(Q354/$F354)</f>
        <v>0.32786885245901631</v>
      </c>
      <c r="T354" s="69">
        <v>1000</v>
      </c>
      <c r="U354" s="68">
        <f>+T354*$I354</f>
        <v>26800.350088003124</v>
      </c>
      <c r="V354" s="62">
        <f t="shared" si="460"/>
        <v>126363.65066493474</v>
      </c>
      <c r="W354" s="69">
        <f t="shared" si="428"/>
        <v>4715</v>
      </c>
      <c r="X354" s="70">
        <f t="shared" ref="X354" si="518">100%-(V354/$F354)</f>
        <v>0.32786885245901631</v>
      </c>
      <c r="Y354" s="69">
        <v>1300</v>
      </c>
      <c r="Z354" s="68">
        <f t="shared" si="501"/>
        <v>34840.45511440406</v>
      </c>
      <c r="AA354" s="68">
        <f t="shared" si="461"/>
        <v>153164.00075293786</v>
      </c>
      <c r="AB354" s="69">
        <f t="shared" si="424"/>
        <v>5715</v>
      </c>
      <c r="AC354" s="70">
        <f t="shared" ref="AC354" si="519">100%-(AA354/$F354)</f>
        <v>0.18531717747683529</v>
      </c>
      <c r="AD354" s="69"/>
      <c r="AE354" s="68">
        <f>AD354*I354</f>
        <v>0</v>
      </c>
      <c r="AF354" s="68">
        <f>F354-AE354</f>
        <v>188004.45586734192</v>
      </c>
      <c r="AG354" s="69">
        <f>G354-AD354</f>
        <v>7015</v>
      </c>
      <c r="AH354" s="70">
        <f t="shared" ref="AH354" si="520">100%-(AF354/$F354)</f>
        <v>0</v>
      </c>
    </row>
    <row r="355" spans="1:34" ht="15" customHeight="1" outlineLevel="2" x14ac:dyDescent="0.25">
      <c r="B355" s="71">
        <v>2131</v>
      </c>
      <c r="C355" s="56" t="s">
        <v>70</v>
      </c>
      <c r="E355" s="73">
        <v>35517.49</v>
      </c>
      <c r="F355" s="74">
        <f t="shared" si="494"/>
        <v>46835.447576343504</v>
      </c>
      <c r="G355" s="75">
        <v>7015</v>
      </c>
      <c r="H355" s="56" t="s">
        <v>42</v>
      </c>
      <c r="I355" s="73">
        <f t="shared" si="400"/>
        <v>6.6764715005478976</v>
      </c>
      <c r="K355" s="68">
        <f t="shared" ref="K355:K369" si="521">+J355*$I355</f>
        <v>0</v>
      </c>
      <c r="L355" s="62">
        <f t="shared" si="467"/>
        <v>0</v>
      </c>
      <c r="M355" s="69">
        <f t="shared" si="426"/>
        <v>0</v>
      </c>
      <c r="P355" s="68">
        <f t="shared" ref="P355:P369" si="522">+O355*$I355</f>
        <v>0</v>
      </c>
      <c r="Q355" s="62">
        <f t="shared" si="468"/>
        <v>0</v>
      </c>
      <c r="R355" s="69">
        <f t="shared" si="427"/>
        <v>0</v>
      </c>
      <c r="U355" s="68">
        <f t="shared" ref="U355:U369" si="523">+T355*$I355</f>
        <v>0</v>
      </c>
      <c r="V355" s="62">
        <f t="shared" si="460"/>
        <v>0</v>
      </c>
      <c r="W355" s="69">
        <f t="shared" si="428"/>
        <v>0</v>
      </c>
      <c r="Z355" s="68">
        <f t="shared" si="501"/>
        <v>0</v>
      </c>
      <c r="AA355" s="68">
        <f t="shared" si="461"/>
        <v>0</v>
      </c>
      <c r="AB355" s="69">
        <f t="shared" si="424"/>
        <v>0</v>
      </c>
      <c r="AD355" s="75">
        <f>$AD$354*G355/$G$354</f>
        <v>0</v>
      </c>
    </row>
    <row r="356" spans="1:34" ht="15" customHeight="1" outlineLevel="2" x14ac:dyDescent="0.25">
      <c r="B356" s="71">
        <v>2150</v>
      </c>
      <c r="C356" s="56" t="s">
        <v>38</v>
      </c>
      <c r="E356" s="73">
        <v>107055</v>
      </c>
      <c r="F356" s="74">
        <f t="shared" si="494"/>
        <v>141169.00829099843</v>
      </c>
      <c r="G356" s="75">
        <v>12627</v>
      </c>
      <c r="H356" s="56" t="s">
        <v>43</v>
      </c>
      <c r="I356" s="73">
        <f t="shared" si="400"/>
        <v>11.179932548586239</v>
      </c>
      <c r="K356" s="68">
        <f t="shared" si="521"/>
        <v>0</v>
      </c>
      <c r="L356" s="62">
        <f t="shared" si="467"/>
        <v>0</v>
      </c>
      <c r="M356" s="69">
        <f t="shared" si="426"/>
        <v>0</v>
      </c>
      <c r="P356" s="68">
        <f t="shared" si="522"/>
        <v>0</v>
      </c>
      <c r="Q356" s="62">
        <f t="shared" si="468"/>
        <v>0</v>
      </c>
      <c r="R356" s="69">
        <f t="shared" si="427"/>
        <v>0</v>
      </c>
      <c r="U356" s="68">
        <f t="shared" si="523"/>
        <v>0</v>
      </c>
      <c r="V356" s="62">
        <f t="shared" si="460"/>
        <v>0</v>
      </c>
      <c r="W356" s="69">
        <f t="shared" si="428"/>
        <v>0</v>
      </c>
      <c r="Z356" s="68">
        <f t="shared" si="501"/>
        <v>0</v>
      </c>
      <c r="AA356" s="68">
        <f t="shared" si="461"/>
        <v>0</v>
      </c>
      <c r="AB356" s="69">
        <f t="shared" si="424"/>
        <v>0</v>
      </c>
      <c r="AD356" s="75">
        <f>$AD$354*G356/$G$354</f>
        <v>0</v>
      </c>
    </row>
    <row r="357" spans="1:34" ht="15" customHeight="1" outlineLevel="1" x14ac:dyDescent="0.25">
      <c r="A357" s="67"/>
      <c r="B357" s="66"/>
      <c r="C357" s="67" t="s">
        <v>214</v>
      </c>
      <c r="D357" s="68"/>
      <c r="E357" s="68">
        <v>162027.5</v>
      </c>
      <c r="F357" s="68">
        <f t="shared" si="494"/>
        <v>213658.97427368874</v>
      </c>
      <c r="G357" s="69">
        <v>4675</v>
      </c>
      <c r="H357" s="67" t="s">
        <v>42</v>
      </c>
      <c r="I357" s="68">
        <f t="shared" si="400"/>
        <v>45.702454390093848</v>
      </c>
      <c r="J357" s="69"/>
      <c r="K357" s="68">
        <f t="shared" si="521"/>
        <v>0</v>
      </c>
      <c r="L357" s="62">
        <f t="shared" si="467"/>
        <v>76551.61110340718</v>
      </c>
      <c r="M357" s="69">
        <f t="shared" si="426"/>
        <v>1675</v>
      </c>
      <c r="N357" s="70">
        <f t="shared" ref="N357" si="524">100%-(L357/$F357)</f>
        <v>0.64171122994652419</v>
      </c>
      <c r="O357" s="69">
        <v>2000</v>
      </c>
      <c r="P357" s="68">
        <f t="shared" si="522"/>
        <v>91404.908780187703</v>
      </c>
      <c r="Q357" s="62">
        <f t="shared" si="468"/>
        <v>76551.61110340718</v>
      </c>
      <c r="R357" s="69">
        <f t="shared" si="427"/>
        <v>1675</v>
      </c>
      <c r="S357" s="70">
        <f t="shared" ref="S357" si="525">100%-(Q357/$F357)</f>
        <v>0.64171122994652419</v>
      </c>
      <c r="T357" s="69"/>
      <c r="U357" s="68">
        <f t="shared" si="523"/>
        <v>0</v>
      </c>
      <c r="V357" s="62">
        <f t="shared" si="460"/>
        <v>167956.51988359488</v>
      </c>
      <c r="W357" s="69">
        <f t="shared" si="428"/>
        <v>3675</v>
      </c>
      <c r="X357" s="70">
        <f t="shared" ref="X357" si="526">100%-(V357/$F357)</f>
        <v>0.2139037433155081</v>
      </c>
      <c r="Y357" s="69">
        <v>600</v>
      </c>
      <c r="Z357" s="68">
        <f t="shared" si="501"/>
        <v>27421.47263405631</v>
      </c>
      <c r="AA357" s="68">
        <f t="shared" si="461"/>
        <v>167956.51988359488</v>
      </c>
      <c r="AB357" s="69">
        <f t="shared" si="424"/>
        <v>3675</v>
      </c>
      <c r="AC357" s="70">
        <f t="shared" ref="AC357" si="527">100%-(AA357/$F357)</f>
        <v>0.2139037433155081</v>
      </c>
      <c r="AD357" s="69">
        <v>400</v>
      </c>
      <c r="AE357" s="68">
        <f>AD357*I357</f>
        <v>18280.981756037538</v>
      </c>
      <c r="AF357" s="68">
        <f>F357-AE357</f>
        <v>195377.9925176512</v>
      </c>
      <c r="AG357" s="69">
        <f>G357-AD357</f>
        <v>4275</v>
      </c>
      <c r="AH357" s="70">
        <f t="shared" ref="AH357" si="528">100%-(AF357/$F357)</f>
        <v>8.5561497326203217E-2</v>
      </c>
    </row>
    <row r="358" spans="1:34" ht="15" customHeight="1" outlineLevel="2" x14ac:dyDescent="0.25">
      <c r="B358" s="71">
        <v>2129</v>
      </c>
      <c r="C358" s="56" t="s">
        <v>45</v>
      </c>
      <c r="E358" s="73">
        <v>17337.77</v>
      </c>
      <c r="F358" s="74">
        <f t="shared" si="494"/>
        <v>22862.601437367932</v>
      </c>
      <c r="G358" s="75">
        <v>8415</v>
      </c>
      <c r="H358" s="56" t="s">
        <v>43</v>
      </c>
      <c r="I358" s="73">
        <f t="shared" si="400"/>
        <v>2.7168866829908414</v>
      </c>
      <c r="J358" s="69"/>
      <c r="K358" s="68">
        <f t="shared" si="521"/>
        <v>0</v>
      </c>
      <c r="L358" s="62">
        <f t="shared" si="467"/>
        <v>0</v>
      </c>
      <c r="M358" s="69">
        <f t="shared" si="426"/>
        <v>0</v>
      </c>
      <c r="O358" s="69"/>
      <c r="P358" s="68">
        <f t="shared" si="522"/>
        <v>0</v>
      </c>
      <c r="Q358" s="62">
        <f t="shared" si="468"/>
        <v>0</v>
      </c>
      <c r="R358" s="69">
        <f t="shared" si="427"/>
        <v>0</v>
      </c>
      <c r="U358" s="68">
        <f t="shared" si="523"/>
        <v>0</v>
      </c>
      <c r="V358" s="62">
        <f t="shared" si="460"/>
        <v>0</v>
      </c>
      <c r="W358" s="69">
        <f t="shared" si="428"/>
        <v>0</v>
      </c>
      <c r="Z358" s="68">
        <f t="shared" si="501"/>
        <v>0</v>
      </c>
      <c r="AA358" s="68">
        <f t="shared" si="461"/>
        <v>0</v>
      </c>
      <c r="AB358" s="69">
        <f t="shared" si="424"/>
        <v>0</v>
      </c>
      <c r="AD358" s="75">
        <f>$AD$357*G358/$G$357</f>
        <v>720</v>
      </c>
    </row>
    <row r="359" spans="1:34" ht="15" customHeight="1" outlineLevel="2" x14ac:dyDescent="0.25">
      <c r="B359" s="71">
        <v>2172</v>
      </c>
      <c r="C359" s="56" t="s">
        <v>133</v>
      </c>
      <c r="E359" s="73">
        <v>73345.17</v>
      </c>
      <c r="F359" s="74">
        <f t="shared" si="494"/>
        <v>96717.2473199261</v>
      </c>
      <c r="G359" s="75">
        <v>8415</v>
      </c>
      <c r="H359" s="56" t="s">
        <v>43</v>
      </c>
      <c r="I359" s="73">
        <f t="shared" si="400"/>
        <v>11.493434024946655</v>
      </c>
      <c r="J359" s="69"/>
      <c r="K359" s="68">
        <f t="shared" si="521"/>
        <v>0</v>
      </c>
      <c r="L359" s="62">
        <f t="shared" si="467"/>
        <v>0</v>
      </c>
      <c r="M359" s="69">
        <f t="shared" si="426"/>
        <v>0</v>
      </c>
      <c r="O359" s="69"/>
      <c r="P359" s="68">
        <f t="shared" si="522"/>
        <v>0</v>
      </c>
      <c r="Q359" s="62">
        <f t="shared" si="468"/>
        <v>0</v>
      </c>
      <c r="R359" s="69">
        <f t="shared" si="427"/>
        <v>0</v>
      </c>
      <c r="U359" s="68">
        <f t="shared" si="523"/>
        <v>0</v>
      </c>
      <c r="V359" s="62">
        <f t="shared" si="460"/>
        <v>0</v>
      </c>
      <c r="W359" s="69">
        <f t="shared" si="428"/>
        <v>0</v>
      </c>
      <c r="Z359" s="68">
        <f t="shared" si="501"/>
        <v>0</v>
      </c>
      <c r="AA359" s="68">
        <f t="shared" si="461"/>
        <v>0</v>
      </c>
      <c r="AB359" s="69">
        <f t="shared" si="424"/>
        <v>0</v>
      </c>
      <c r="AD359" s="75">
        <f>$AD$357*G359/$G$357</f>
        <v>720</v>
      </c>
    </row>
    <row r="360" spans="1:34" ht="15" customHeight="1" outlineLevel="2" x14ac:dyDescent="0.25">
      <c r="B360" s="71">
        <v>2149</v>
      </c>
      <c r="C360" s="56" t="s">
        <v>48</v>
      </c>
      <c r="E360" s="73">
        <v>71344.570000000007</v>
      </c>
      <c r="F360" s="74">
        <f t="shared" si="494"/>
        <v>94079.138702981814</v>
      </c>
      <c r="G360" s="75">
        <v>8415</v>
      </c>
      <c r="H360" s="56" t="s">
        <v>43</v>
      </c>
      <c r="I360" s="73">
        <f t="shared" si="400"/>
        <v>11.179933298037055</v>
      </c>
      <c r="J360" s="69"/>
      <c r="K360" s="68">
        <f t="shared" si="521"/>
        <v>0</v>
      </c>
      <c r="L360" s="62">
        <f t="shared" si="467"/>
        <v>0</v>
      </c>
      <c r="M360" s="69">
        <f t="shared" si="426"/>
        <v>0</v>
      </c>
      <c r="O360" s="69"/>
      <c r="P360" s="68">
        <f t="shared" si="522"/>
        <v>0</v>
      </c>
      <c r="Q360" s="62">
        <f t="shared" si="468"/>
        <v>0</v>
      </c>
      <c r="R360" s="69">
        <f t="shared" si="427"/>
        <v>0</v>
      </c>
      <c r="U360" s="68">
        <f t="shared" si="523"/>
        <v>0</v>
      </c>
      <c r="V360" s="62">
        <f t="shared" si="460"/>
        <v>0</v>
      </c>
      <c r="W360" s="69">
        <f t="shared" si="428"/>
        <v>0</v>
      </c>
      <c r="Z360" s="68">
        <f t="shared" si="501"/>
        <v>0</v>
      </c>
      <c r="AA360" s="68">
        <f t="shared" si="461"/>
        <v>0</v>
      </c>
      <c r="AB360" s="69">
        <f t="shared" si="424"/>
        <v>0</v>
      </c>
      <c r="AD360" s="75">
        <f>$AD$357*G360/$G$357</f>
        <v>720</v>
      </c>
    </row>
    <row r="361" spans="1:34" ht="15" customHeight="1" outlineLevel="1" x14ac:dyDescent="0.25">
      <c r="A361" s="67"/>
      <c r="B361" s="66"/>
      <c r="C361" s="67" t="s">
        <v>215</v>
      </c>
      <c r="D361" s="68"/>
      <c r="E361" s="94">
        <v>191808.59</v>
      </c>
      <c r="F361" s="68">
        <f t="shared" si="494"/>
        <v>252930.06802106131</v>
      </c>
      <c r="G361" s="69">
        <v>2340</v>
      </c>
      <c r="H361" s="67" t="s">
        <v>42</v>
      </c>
      <c r="I361" s="68">
        <f t="shared" si="400"/>
        <v>108.08977265857321</v>
      </c>
      <c r="J361" s="69"/>
      <c r="K361" s="68">
        <f t="shared" si="521"/>
        <v>0</v>
      </c>
      <c r="L361" s="62">
        <f t="shared" si="467"/>
        <v>90795.409033201475</v>
      </c>
      <c r="M361" s="69">
        <f t="shared" si="426"/>
        <v>840</v>
      </c>
      <c r="N361" s="70">
        <f t="shared" ref="N361" si="529">100%-(L361/$F361)</f>
        <v>0.64102564102564108</v>
      </c>
      <c r="O361" s="69">
        <v>1000</v>
      </c>
      <c r="P361" s="68">
        <f t="shared" si="522"/>
        <v>108089.77265857322</v>
      </c>
      <c r="Q361" s="62">
        <f t="shared" si="468"/>
        <v>90795.409033201475</v>
      </c>
      <c r="R361" s="69">
        <f t="shared" si="427"/>
        <v>840</v>
      </c>
      <c r="S361" s="70">
        <f t="shared" ref="S361" si="530">100%-(Q361/$F361)</f>
        <v>0.64102564102564108</v>
      </c>
      <c r="T361" s="69"/>
      <c r="U361" s="68">
        <f t="shared" si="523"/>
        <v>0</v>
      </c>
      <c r="V361" s="62">
        <f t="shared" si="460"/>
        <v>198885.18169177469</v>
      </c>
      <c r="W361" s="69">
        <f t="shared" si="428"/>
        <v>1840</v>
      </c>
      <c r="X361" s="70">
        <f t="shared" ref="X361" si="531">100%-(V361/$F361)</f>
        <v>0.21367521367521369</v>
      </c>
      <c r="Y361" s="69">
        <v>500</v>
      </c>
      <c r="Z361" s="68">
        <f t="shared" si="501"/>
        <v>54044.886329286608</v>
      </c>
      <c r="AA361" s="68">
        <f t="shared" si="461"/>
        <v>198885.18169177469</v>
      </c>
      <c r="AB361" s="69">
        <f t="shared" si="424"/>
        <v>1840</v>
      </c>
      <c r="AC361" s="70">
        <f t="shared" ref="AC361" si="532">100%-(AA361/$F361)</f>
        <v>0.21367521367521369</v>
      </c>
      <c r="AD361" s="69"/>
      <c r="AE361" s="68">
        <f>AD361*I361</f>
        <v>0</v>
      </c>
      <c r="AF361" s="68">
        <f>F361-AE361</f>
        <v>252930.06802106131</v>
      </c>
      <c r="AG361" s="69">
        <f>G361-AD361</f>
        <v>2340</v>
      </c>
      <c r="AH361" s="70">
        <f t="shared" ref="AH361" si="533">100%-(AF361/$F361)</f>
        <v>0</v>
      </c>
    </row>
    <row r="362" spans="1:34" ht="15" customHeight="1" outlineLevel="2" x14ac:dyDescent="0.25">
      <c r="B362" s="71">
        <v>2129</v>
      </c>
      <c r="C362" s="56" t="s">
        <v>45</v>
      </c>
      <c r="E362" s="73">
        <v>8678.15</v>
      </c>
      <c r="F362" s="74">
        <f t="shared" si="494"/>
        <v>11443.518091640073</v>
      </c>
      <c r="G362" s="75">
        <v>4212</v>
      </c>
      <c r="H362" s="56" t="s">
        <v>43</v>
      </c>
      <c r="I362" s="73">
        <f t="shared" ref="I362:I427" si="534">F362/G362</f>
        <v>2.7168846371415181</v>
      </c>
      <c r="K362" s="68">
        <f t="shared" si="521"/>
        <v>0</v>
      </c>
      <c r="L362" s="62">
        <f t="shared" si="467"/>
        <v>0</v>
      </c>
      <c r="M362" s="69">
        <f t="shared" si="426"/>
        <v>0</v>
      </c>
      <c r="P362" s="68">
        <f t="shared" si="522"/>
        <v>0</v>
      </c>
      <c r="Q362" s="62">
        <f t="shared" si="468"/>
        <v>0</v>
      </c>
      <c r="R362" s="69">
        <f t="shared" si="427"/>
        <v>0</v>
      </c>
      <c r="U362" s="68">
        <f t="shared" si="523"/>
        <v>0</v>
      </c>
      <c r="V362" s="62">
        <f t="shared" si="460"/>
        <v>0</v>
      </c>
      <c r="W362" s="69">
        <f t="shared" si="428"/>
        <v>0</v>
      </c>
      <c r="Z362" s="68">
        <f t="shared" si="501"/>
        <v>0</v>
      </c>
      <c r="AA362" s="68">
        <f t="shared" si="461"/>
        <v>0</v>
      </c>
      <c r="AB362" s="69">
        <f t="shared" si="424"/>
        <v>0</v>
      </c>
      <c r="AD362" s="75">
        <f>$AD$361*G362/$G$361</f>
        <v>0</v>
      </c>
    </row>
    <row r="363" spans="1:34" ht="15" customHeight="1" outlineLevel="2" x14ac:dyDescent="0.25">
      <c r="B363" s="71">
        <v>2188</v>
      </c>
      <c r="C363" s="56" t="s">
        <v>216</v>
      </c>
      <c r="E363" s="73">
        <v>147420</v>
      </c>
      <c r="F363" s="74">
        <f t="shared" si="494"/>
        <v>194396.66715481752</v>
      </c>
      <c r="G363" s="75">
        <v>4212</v>
      </c>
      <c r="H363" s="56" t="s">
        <v>43</v>
      </c>
      <c r="I363" s="73">
        <f t="shared" si="534"/>
        <v>46.153054880061141</v>
      </c>
      <c r="K363" s="68">
        <f t="shared" si="521"/>
        <v>0</v>
      </c>
      <c r="L363" s="62">
        <f t="shared" si="467"/>
        <v>0</v>
      </c>
      <c r="M363" s="69">
        <f t="shared" si="426"/>
        <v>0</v>
      </c>
      <c r="P363" s="68">
        <f t="shared" si="522"/>
        <v>0</v>
      </c>
      <c r="Q363" s="62">
        <f t="shared" si="468"/>
        <v>0</v>
      </c>
      <c r="R363" s="69">
        <f t="shared" si="427"/>
        <v>0</v>
      </c>
      <c r="U363" s="68">
        <f t="shared" si="523"/>
        <v>0</v>
      </c>
      <c r="V363" s="62">
        <f t="shared" si="460"/>
        <v>0</v>
      </c>
      <c r="W363" s="69">
        <f t="shared" si="428"/>
        <v>0</v>
      </c>
      <c r="Z363" s="68">
        <f t="shared" si="501"/>
        <v>0</v>
      </c>
      <c r="AA363" s="68">
        <f t="shared" si="461"/>
        <v>0</v>
      </c>
      <c r="AB363" s="69">
        <f t="shared" si="424"/>
        <v>0</v>
      </c>
      <c r="AD363" s="75">
        <f>$AD$361*G363/$G$361</f>
        <v>0</v>
      </c>
    </row>
    <row r="364" spans="1:34" ht="15" customHeight="1" outlineLevel="2" x14ac:dyDescent="0.25">
      <c r="B364" s="71">
        <v>2149</v>
      </c>
      <c r="C364" s="56" t="s">
        <v>48</v>
      </c>
      <c r="E364" s="73">
        <v>35710.43</v>
      </c>
      <c r="F364" s="74">
        <f t="shared" si="494"/>
        <v>47089.86958801662</v>
      </c>
      <c r="G364" s="75">
        <v>4212</v>
      </c>
      <c r="H364" s="56" t="s">
        <v>43</v>
      </c>
      <c r="I364" s="73">
        <f t="shared" si="534"/>
        <v>11.179931051285998</v>
      </c>
      <c r="K364" s="68">
        <f t="shared" si="521"/>
        <v>0</v>
      </c>
      <c r="L364" s="62">
        <f t="shared" si="467"/>
        <v>0</v>
      </c>
      <c r="M364" s="69">
        <f t="shared" si="426"/>
        <v>0</v>
      </c>
      <c r="P364" s="68">
        <f t="shared" si="522"/>
        <v>0</v>
      </c>
      <c r="Q364" s="62">
        <f t="shared" si="468"/>
        <v>0</v>
      </c>
      <c r="R364" s="69">
        <f t="shared" si="427"/>
        <v>0</v>
      </c>
      <c r="U364" s="68">
        <f t="shared" si="523"/>
        <v>0</v>
      </c>
      <c r="V364" s="62">
        <f t="shared" si="460"/>
        <v>0</v>
      </c>
      <c r="W364" s="69">
        <f t="shared" si="428"/>
        <v>0</v>
      </c>
      <c r="Z364" s="68">
        <f t="shared" si="501"/>
        <v>0</v>
      </c>
      <c r="AA364" s="68">
        <f t="shared" si="461"/>
        <v>0</v>
      </c>
      <c r="AB364" s="69">
        <f t="shared" si="424"/>
        <v>0</v>
      </c>
      <c r="AD364" s="75">
        <f>$AD$361*G364/$G$361</f>
        <v>0</v>
      </c>
    </row>
    <row r="365" spans="1:34" ht="15" customHeight="1" outlineLevel="1" x14ac:dyDescent="0.25">
      <c r="A365" s="67"/>
      <c r="B365" s="66"/>
      <c r="C365" s="67" t="s">
        <v>217</v>
      </c>
      <c r="D365" s="68"/>
      <c r="E365" s="68">
        <v>10680.2</v>
      </c>
      <c r="F365" s="68">
        <f t="shared" si="494"/>
        <v>14083.538763715114</v>
      </c>
      <c r="G365" s="69">
        <v>4680</v>
      </c>
      <c r="H365" s="67" t="s">
        <v>98</v>
      </c>
      <c r="I365" s="68">
        <f t="shared" si="534"/>
        <v>3.0093031546399818</v>
      </c>
      <c r="J365" s="69"/>
      <c r="K365" s="68">
        <f t="shared" si="521"/>
        <v>0</v>
      </c>
      <c r="L365" s="62">
        <f t="shared" si="467"/>
        <v>10171.444662683138</v>
      </c>
      <c r="M365" s="69">
        <f t="shared" si="426"/>
        <v>3380</v>
      </c>
      <c r="N365" s="70">
        <f t="shared" ref="N365" si="535">100%-(L365/$F365)</f>
        <v>0.27777777777777779</v>
      </c>
      <c r="O365" s="69"/>
      <c r="P365" s="68">
        <f t="shared" si="522"/>
        <v>0</v>
      </c>
      <c r="Q365" s="62">
        <f t="shared" si="468"/>
        <v>10171.444662683138</v>
      </c>
      <c r="R365" s="69">
        <f t="shared" si="427"/>
        <v>3380</v>
      </c>
      <c r="S365" s="70">
        <f t="shared" ref="S365" si="536">100%-(Q365/$F365)</f>
        <v>0.27777777777777779</v>
      </c>
      <c r="T365" s="69"/>
      <c r="U365" s="68">
        <f t="shared" si="523"/>
        <v>0</v>
      </c>
      <c r="V365" s="62">
        <f t="shared" si="460"/>
        <v>10171.444662683138</v>
      </c>
      <c r="W365" s="69">
        <f t="shared" si="428"/>
        <v>3380</v>
      </c>
      <c r="X365" s="70">
        <f t="shared" ref="X365" si="537">100%-(V365/$F365)</f>
        <v>0.27777777777777779</v>
      </c>
      <c r="Y365" s="69">
        <v>900</v>
      </c>
      <c r="Z365" s="68">
        <f t="shared" si="501"/>
        <v>2708.3728391759837</v>
      </c>
      <c r="AA365" s="68">
        <f t="shared" si="461"/>
        <v>10171.444662683138</v>
      </c>
      <c r="AB365" s="69">
        <f t="shared" ref="AB365:AB428" si="538">+AG365-Y365</f>
        <v>3380</v>
      </c>
      <c r="AC365" s="70">
        <f t="shared" ref="AC365" si="539">100%-(AA365/$F365)</f>
        <v>0.27777777777777779</v>
      </c>
      <c r="AD365" s="69">
        <v>400</v>
      </c>
      <c r="AE365" s="68">
        <f>AD365*I365</f>
        <v>1203.7212618559927</v>
      </c>
      <c r="AF365" s="68">
        <f>F365-AE365</f>
        <v>12879.817501859121</v>
      </c>
      <c r="AG365" s="69">
        <f>G365-AD365</f>
        <v>4280</v>
      </c>
      <c r="AH365" s="70">
        <f t="shared" ref="AH365" si="540">100%-(AF365/$F365)</f>
        <v>8.54700854700855E-2</v>
      </c>
    </row>
    <row r="366" spans="1:34" ht="15" customHeight="1" outlineLevel="2" x14ac:dyDescent="0.25">
      <c r="B366" s="71">
        <v>2170</v>
      </c>
      <c r="C366" s="56" t="s">
        <v>103</v>
      </c>
      <c r="E366" s="73">
        <v>10680.2</v>
      </c>
      <c r="F366" s="74">
        <f t="shared" si="494"/>
        <v>14083.538763715114</v>
      </c>
      <c r="G366" s="75">
        <v>4680</v>
      </c>
      <c r="H366" s="56" t="s">
        <v>98</v>
      </c>
      <c r="I366" s="73">
        <f t="shared" si="534"/>
        <v>3.0093031546399818</v>
      </c>
      <c r="K366" s="68">
        <f t="shared" si="521"/>
        <v>0</v>
      </c>
      <c r="L366" s="62">
        <f t="shared" si="467"/>
        <v>0</v>
      </c>
      <c r="M366" s="69">
        <f t="shared" ref="M366:M429" si="541">+R366-J366</f>
        <v>0</v>
      </c>
      <c r="P366" s="68">
        <f t="shared" si="522"/>
        <v>0</v>
      </c>
      <c r="Q366" s="62">
        <f t="shared" si="468"/>
        <v>0</v>
      </c>
      <c r="R366" s="69">
        <f t="shared" ref="R366:R429" si="542">+W366-O366</f>
        <v>0</v>
      </c>
      <c r="U366" s="68">
        <f t="shared" si="523"/>
        <v>0</v>
      </c>
      <c r="V366" s="62">
        <f t="shared" si="460"/>
        <v>0</v>
      </c>
      <c r="W366" s="69">
        <f t="shared" ref="W366:W429" si="543">+AB366-T366</f>
        <v>0</v>
      </c>
      <c r="Z366" s="68">
        <f t="shared" si="501"/>
        <v>0</v>
      </c>
      <c r="AA366" s="68">
        <f t="shared" si="461"/>
        <v>0</v>
      </c>
      <c r="AB366" s="69">
        <f t="shared" si="538"/>
        <v>0</v>
      </c>
      <c r="AD366" s="75">
        <f>$AD$365*G366/$G$365</f>
        <v>400</v>
      </c>
    </row>
    <row r="367" spans="1:34" ht="15" customHeight="1" outlineLevel="1" x14ac:dyDescent="0.25">
      <c r="A367" s="67"/>
      <c r="B367" s="66"/>
      <c r="C367" s="67" t="s">
        <v>171</v>
      </c>
      <c r="D367" s="68"/>
      <c r="E367" s="68">
        <v>13291.04</v>
      </c>
      <c r="F367" s="68">
        <f t="shared" si="494"/>
        <v>17526.345672373936</v>
      </c>
      <c r="G367" s="69">
        <v>10</v>
      </c>
      <c r="H367" s="67" t="s">
        <v>132</v>
      </c>
      <c r="I367" s="68">
        <f t="shared" si="534"/>
        <v>1752.6345672373936</v>
      </c>
      <c r="J367" s="69">
        <v>1</v>
      </c>
      <c r="K367" s="68">
        <f t="shared" si="521"/>
        <v>1752.6345672373936</v>
      </c>
      <c r="L367" s="62">
        <f t="shared" si="467"/>
        <v>3505.2691344747873</v>
      </c>
      <c r="M367" s="69">
        <f t="shared" si="541"/>
        <v>2</v>
      </c>
      <c r="N367" s="70">
        <f t="shared" ref="N367" si="544">100%-(L367/$F367)</f>
        <v>0.8</v>
      </c>
      <c r="O367" s="69">
        <v>3</v>
      </c>
      <c r="P367" s="68">
        <f t="shared" si="522"/>
        <v>5257.9037017121809</v>
      </c>
      <c r="Q367" s="62">
        <f t="shared" si="468"/>
        <v>5257.9037017121809</v>
      </c>
      <c r="R367" s="69">
        <f t="shared" si="542"/>
        <v>3</v>
      </c>
      <c r="S367" s="70">
        <f t="shared" ref="S367" si="545">100%-(Q367/$F367)</f>
        <v>0.7</v>
      </c>
      <c r="T367" s="69">
        <v>2</v>
      </c>
      <c r="U367" s="68">
        <f t="shared" si="523"/>
        <v>3505.2691344747873</v>
      </c>
      <c r="V367" s="62">
        <f t="shared" si="460"/>
        <v>10515.807403424362</v>
      </c>
      <c r="W367" s="69">
        <f t="shared" si="543"/>
        <v>6</v>
      </c>
      <c r="X367" s="70">
        <f t="shared" ref="X367" si="546">100%-(V367/$F367)</f>
        <v>0.4</v>
      </c>
      <c r="Y367" s="69">
        <v>2</v>
      </c>
      <c r="Z367" s="68">
        <f t="shared" si="501"/>
        <v>3505.2691344747873</v>
      </c>
      <c r="AA367" s="68">
        <f t="shared" si="461"/>
        <v>14021.076537899149</v>
      </c>
      <c r="AB367" s="69">
        <f t="shared" si="538"/>
        <v>8</v>
      </c>
      <c r="AC367" s="70">
        <f t="shared" ref="AC367" si="547">100%-(AA367/$F367)</f>
        <v>0.19999999999999996</v>
      </c>
      <c r="AD367" s="69"/>
      <c r="AE367" s="68">
        <f>AD367*I367</f>
        <v>0</v>
      </c>
      <c r="AF367" s="68">
        <f>F367-AE367</f>
        <v>17526.345672373936</v>
      </c>
      <c r="AG367" s="69">
        <f>G367-AD367</f>
        <v>10</v>
      </c>
      <c r="AH367" s="70">
        <f t="shared" ref="AH367" si="548">100%-(AF367/$F367)</f>
        <v>0</v>
      </c>
    </row>
    <row r="368" spans="1:34" ht="15" customHeight="1" outlineLevel="2" x14ac:dyDescent="0.25">
      <c r="B368" s="71">
        <v>2600</v>
      </c>
      <c r="C368" s="56" t="s">
        <v>171</v>
      </c>
      <c r="E368" s="73">
        <v>13291.04</v>
      </c>
      <c r="F368" s="74">
        <f t="shared" si="494"/>
        <v>17526.345672373936</v>
      </c>
      <c r="G368" s="75">
        <v>10</v>
      </c>
      <c r="H368" s="56" t="s">
        <v>132</v>
      </c>
      <c r="I368" s="73">
        <f t="shared" ref="I368" si="549">F368/G368</f>
        <v>1752.6345672373936</v>
      </c>
      <c r="K368" s="68">
        <f t="shared" si="521"/>
        <v>0</v>
      </c>
      <c r="L368" s="62">
        <f t="shared" si="467"/>
        <v>0</v>
      </c>
      <c r="M368" s="69">
        <f t="shared" si="541"/>
        <v>0</v>
      </c>
      <c r="P368" s="68">
        <f t="shared" si="522"/>
        <v>0</v>
      </c>
      <c r="Q368" s="62">
        <f t="shared" si="468"/>
        <v>0</v>
      </c>
      <c r="R368" s="69">
        <f t="shared" si="542"/>
        <v>0</v>
      </c>
      <c r="U368" s="68">
        <f t="shared" si="523"/>
        <v>0</v>
      </c>
      <c r="V368" s="62">
        <f t="shared" si="460"/>
        <v>0</v>
      </c>
      <c r="W368" s="69">
        <f t="shared" si="543"/>
        <v>0</v>
      </c>
      <c r="Y368" s="75">
        <f>$AD$367*B368/$G$367</f>
        <v>0</v>
      </c>
      <c r="Z368" s="68">
        <f t="shared" si="501"/>
        <v>0</v>
      </c>
      <c r="AA368" s="68">
        <f t="shared" si="461"/>
        <v>0</v>
      </c>
      <c r="AB368" s="69">
        <f t="shared" si="538"/>
        <v>0</v>
      </c>
      <c r="AD368" s="75">
        <f>$AD$367*G368/$G$367</f>
        <v>0</v>
      </c>
    </row>
    <row r="369" spans="1:34" ht="15" customHeight="1" outlineLevel="1" x14ac:dyDescent="0.25">
      <c r="A369" s="67"/>
      <c r="B369" s="66"/>
      <c r="C369" s="67" t="s">
        <v>172</v>
      </c>
      <c r="D369" s="68"/>
      <c r="E369" s="68">
        <v>10838.14</v>
      </c>
      <c r="F369" s="68">
        <f t="shared" si="494"/>
        <v>14291.807720508164</v>
      </c>
      <c r="G369" s="69">
        <v>15</v>
      </c>
      <c r="H369" s="67" t="s">
        <v>39</v>
      </c>
      <c r="I369" s="68">
        <f t="shared" si="534"/>
        <v>952.78718136721102</v>
      </c>
      <c r="J369" s="69">
        <v>2</v>
      </c>
      <c r="K369" s="68">
        <f t="shared" si="521"/>
        <v>1905.574362734422</v>
      </c>
      <c r="L369" s="62">
        <f t="shared" si="467"/>
        <v>4763.9359068360554</v>
      </c>
      <c r="M369" s="69">
        <f t="shared" si="541"/>
        <v>5</v>
      </c>
      <c r="N369" s="70">
        <f t="shared" ref="N369" si="550">100%-(L369/$F369)</f>
        <v>0.66666666666666663</v>
      </c>
      <c r="O369" s="69">
        <v>2</v>
      </c>
      <c r="P369" s="68">
        <f t="shared" si="522"/>
        <v>1905.574362734422</v>
      </c>
      <c r="Q369" s="62">
        <f t="shared" si="468"/>
        <v>6669.5102695704772</v>
      </c>
      <c r="R369" s="69">
        <f t="shared" si="542"/>
        <v>7</v>
      </c>
      <c r="S369" s="70">
        <f t="shared" ref="S369" si="551">100%-(Q369/$F369)</f>
        <v>0.53333333333333333</v>
      </c>
      <c r="T369" s="69">
        <v>4</v>
      </c>
      <c r="U369" s="68">
        <f t="shared" si="523"/>
        <v>3811.1487254688441</v>
      </c>
      <c r="V369" s="62">
        <f t="shared" si="460"/>
        <v>8575.0846323048991</v>
      </c>
      <c r="W369" s="69">
        <f t="shared" si="543"/>
        <v>9</v>
      </c>
      <c r="X369" s="70">
        <f t="shared" ref="X369" si="552">100%-(V369/$F369)</f>
        <v>0.4</v>
      </c>
      <c r="Y369" s="69">
        <v>2</v>
      </c>
      <c r="Z369" s="68">
        <f t="shared" si="501"/>
        <v>1905.574362734422</v>
      </c>
      <c r="AA369" s="68">
        <f t="shared" si="461"/>
        <v>12386.233357773743</v>
      </c>
      <c r="AB369" s="69">
        <f t="shared" si="538"/>
        <v>13</v>
      </c>
      <c r="AC369" s="70">
        <f t="shared" ref="AC369" si="553">100%-(AA369/$F369)</f>
        <v>0.1333333333333333</v>
      </c>
      <c r="AD369" s="69"/>
      <c r="AE369" s="68">
        <f>AD369*I369</f>
        <v>0</v>
      </c>
      <c r="AF369" s="68">
        <f>F369-AE369</f>
        <v>14291.807720508164</v>
      </c>
      <c r="AG369" s="69">
        <f>G369-AD369</f>
        <v>15</v>
      </c>
      <c r="AH369" s="70">
        <f t="shared" ref="AH369" si="554">100%-(AF369/$F369)</f>
        <v>0</v>
      </c>
    </row>
    <row r="370" spans="1:34" ht="15" customHeight="1" outlineLevel="2" x14ac:dyDescent="0.25">
      <c r="B370" s="71">
        <v>2105</v>
      </c>
      <c r="C370" s="56" t="s">
        <v>49</v>
      </c>
      <c r="E370" s="73">
        <v>4671.5600000000004</v>
      </c>
      <c r="F370" s="74">
        <f t="shared" si="494"/>
        <v>6160.193287299955</v>
      </c>
      <c r="G370" s="75">
        <v>15</v>
      </c>
      <c r="H370" s="56" t="s">
        <v>39</v>
      </c>
      <c r="I370" s="73">
        <f t="shared" si="534"/>
        <v>410.67955248666368</v>
      </c>
      <c r="L370" s="62">
        <f t="shared" si="467"/>
        <v>0</v>
      </c>
      <c r="M370" s="69">
        <f t="shared" si="541"/>
        <v>0</v>
      </c>
      <c r="Q370" s="62">
        <f t="shared" si="468"/>
        <v>0</v>
      </c>
      <c r="R370" s="69"/>
      <c r="V370" s="62">
        <f t="shared" si="460"/>
        <v>0</v>
      </c>
      <c r="W370" s="69">
        <f t="shared" si="543"/>
        <v>0</v>
      </c>
      <c r="Y370" s="75">
        <f t="shared" ref="Y370:Y375" si="555">$AD$369*B370/$G$369</f>
        <v>0</v>
      </c>
      <c r="AA370" s="68">
        <f t="shared" si="461"/>
        <v>0</v>
      </c>
      <c r="AB370" s="69">
        <f t="shared" si="538"/>
        <v>0</v>
      </c>
      <c r="AD370" s="75">
        <f t="shared" ref="AD370:AD375" si="556">$AD$369*G370/$G$369</f>
        <v>0</v>
      </c>
    </row>
    <row r="371" spans="1:34" ht="15" customHeight="1" outlineLevel="2" x14ac:dyDescent="0.25">
      <c r="B371" s="71">
        <v>2187</v>
      </c>
      <c r="C371" s="56" t="s">
        <v>173</v>
      </c>
      <c r="E371" s="73">
        <v>3060</v>
      </c>
      <c r="F371" s="74">
        <f t="shared" si="494"/>
        <v>4035.0956552282023</v>
      </c>
      <c r="G371" s="75">
        <v>15</v>
      </c>
      <c r="H371" s="56" t="s">
        <v>39</v>
      </c>
      <c r="I371" s="73">
        <f t="shared" si="534"/>
        <v>269.0063770152135</v>
      </c>
      <c r="L371" s="62">
        <f t="shared" si="467"/>
        <v>0</v>
      </c>
      <c r="M371" s="69">
        <f t="shared" si="541"/>
        <v>0</v>
      </c>
      <c r="Q371" s="62">
        <f t="shared" si="468"/>
        <v>0</v>
      </c>
      <c r="R371" s="69"/>
      <c r="V371" s="62">
        <f t="shared" si="460"/>
        <v>0</v>
      </c>
      <c r="W371" s="69">
        <f t="shared" si="543"/>
        <v>0</v>
      </c>
      <c r="Y371" s="75">
        <f t="shared" si="555"/>
        <v>0</v>
      </c>
      <c r="AA371" s="68">
        <f t="shared" si="461"/>
        <v>0</v>
      </c>
      <c r="AB371" s="69">
        <f t="shared" si="538"/>
        <v>0</v>
      </c>
      <c r="AD371" s="75">
        <f t="shared" si="556"/>
        <v>0</v>
      </c>
    </row>
    <row r="372" spans="1:34" ht="15" customHeight="1" outlineLevel="2" x14ac:dyDescent="0.25">
      <c r="B372" s="71">
        <v>2149</v>
      </c>
      <c r="C372" s="56" t="s">
        <v>48</v>
      </c>
      <c r="E372" s="73">
        <v>1271.74</v>
      </c>
      <c r="F372" s="74">
        <f t="shared" si="494"/>
        <v>1676.9910289476843</v>
      </c>
      <c r="G372" s="75">
        <v>15</v>
      </c>
      <c r="H372" s="56" t="s">
        <v>39</v>
      </c>
      <c r="I372" s="73">
        <f t="shared" si="534"/>
        <v>111.79940192984562</v>
      </c>
      <c r="L372" s="62">
        <f t="shared" si="467"/>
        <v>0</v>
      </c>
      <c r="M372" s="69">
        <f t="shared" si="541"/>
        <v>0</v>
      </c>
      <c r="Q372" s="62">
        <f t="shared" si="468"/>
        <v>0</v>
      </c>
      <c r="R372" s="69"/>
      <c r="V372" s="62">
        <f t="shared" si="460"/>
        <v>0</v>
      </c>
      <c r="W372" s="69">
        <f t="shared" si="543"/>
        <v>0</v>
      </c>
      <c r="Y372" s="75">
        <f t="shared" si="555"/>
        <v>0</v>
      </c>
      <c r="AA372" s="68">
        <f t="shared" si="461"/>
        <v>0</v>
      </c>
      <c r="AB372" s="69">
        <f t="shared" si="538"/>
        <v>0</v>
      </c>
      <c r="AD372" s="75">
        <f t="shared" si="556"/>
        <v>0</v>
      </c>
    </row>
    <row r="373" spans="1:34" ht="15" customHeight="1" outlineLevel="2" x14ac:dyDescent="0.25">
      <c r="B373" s="71">
        <v>6480</v>
      </c>
      <c r="C373" s="56" t="s">
        <v>96</v>
      </c>
      <c r="E373" s="73">
        <v>113.1</v>
      </c>
      <c r="F373" s="74">
        <f t="shared" si="494"/>
        <v>149.14030019814041</v>
      </c>
      <c r="G373" s="75">
        <v>1</v>
      </c>
      <c r="H373" s="56" t="s">
        <v>34</v>
      </c>
      <c r="I373" s="73">
        <f t="shared" si="534"/>
        <v>149.14030019814041</v>
      </c>
      <c r="L373" s="62">
        <f t="shared" si="467"/>
        <v>0</v>
      </c>
      <c r="M373" s="69">
        <f t="shared" si="541"/>
        <v>0</v>
      </c>
      <c r="Q373" s="62">
        <f t="shared" si="468"/>
        <v>0</v>
      </c>
      <c r="R373" s="69"/>
      <c r="V373" s="62">
        <f t="shared" si="460"/>
        <v>0</v>
      </c>
      <c r="W373" s="69">
        <f t="shared" si="543"/>
        <v>0</v>
      </c>
      <c r="Y373" s="75">
        <f t="shared" si="555"/>
        <v>0</v>
      </c>
      <c r="AA373" s="68">
        <f t="shared" si="461"/>
        <v>0</v>
      </c>
      <c r="AB373" s="69">
        <f t="shared" si="538"/>
        <v>0</v>
      </c>
      <c r="AD373" s="75">
        <f t="shared" si="556"/>
        <v>0</v>
      </c>
    </row>
    <row r="374" spans="1:34" ht="15" customHeight="1" outlineLevel="2" x14ac:dyDescent="0.25">
      <c r="B374" s="71">
        <v>2150</v>
      </c>
      <c r="C374" s="56" t="s">
        <v>38</v>
      </c>
      <c r="E374" s="73">
        <v>1271.74</v>
      </c>
      <c r="F374" s="74">
        <f t="shared" si="494"/>
        <v>1676.9910289476843</v>
      </c>
      <c r="G374" s="75">
        <v>150</v>
      </c>
      <c r="H374" s="56" t="s">
        <v>43</v>
      </c>
      <c r="I374" s="73">
        <f t="shared" si="534"/>
        <v>11.179940192984562</v>
      </c>
      <c r="L374" s="62">
        <f t="shared" si="467"/>
        <v>0</v>
      </c>
      <c r="M374" s="69">
        <f t="shared" si="541"/>
        <v>0</v>
      </c>
      <c r="Q374" s="62">
        <f t="shared" si="468"/>
        <v>0</v>
      </c>
      <c r="R374" s="69"/>
      <c r="V374" s="62">
        <f t="shared" si="460"/>
        <v>0</v>
      </c>
      <c r="W374" s="69">
        <f t="shared" si="543"/>
        <v>0</v>
      </c>
      <c r="Y374" s="75">
        <f t="shared" si="555"/>
        <v>0</v>
      </c>
      <c r="AA374" s="68">
        <f t="shared" si="461"/>
        <v>0</v>
      </c>
      <c r="AB374" s="69">
        <f t="shared" si="538"/>
        <v>0</v>
      </c>
      <c r="AD374" s="75">
        <f t="shared" si="556"/>
        <v>0</v>
      </c>
    </row>
    <row r="375" spans="1:34" ht="15" customHeight="1" outlineLevel="2" x14ac:dyDescent="0.25">
      <c r="B375" s="71">
        <v>2490</v>
      </c>
      <c r="C375" s="56" t="s">
        <v>37</v>
      </c>
      <c r="E375" s="73">
        <v>450</v>
      </c>
      <c r="F375" s="74">
        <f t="shared" si="494"/>
        <v>593.39641988650033</v>
      </c>
      <c r="G375" s="75">
        <v>150</v>
      </c>
      <c r="H375" s="56" t="s">
        <v>43</v>
      </c>
      <c r="I375" s="73">
        <f t="shared" si="534"/>
        <v>3.9559761325766689</v>
      </c>
      <c r="L375" s="62">
        <f t="shared" si="467"/>
        <v>0</v>
      </c>
      <c r="M375" s="69">
        <f t="shared" si="541"/>
        <v>0</v>
      </c>
      <c r="Q375" s="62">
        <f t="shared" si="468"/>
        <v>0</v>
      </c>
      <c r="R375" s="69"/>
      <c r="V375" s="62">
        <f t="shared" si="460"/>
        <v>0</v>
      </c>
      <c r="W375" s="69">
        <f t="shared" si="543"/>
        <v>0</v>
      </c>
      <c r="Y375" s="75">
        <f t="shared" si="555"/>
        <v>0</v>
      </c>
      <c r="AA375" s="68">
        <f t="shared" si="461"/>
        <v>0</v>
      </c>
      <c r="AB375" s="69">
        <f t="shared" si="538"/>
        <v>0</v>
      </c>
      <c r="AD375" s="75">
        <f t="shared" si="556"/>
        <v>0</v>
      </c>
    </row>
    <row r="376" spans="1:34" ht="15" customHeight="1" x14ac:dyDescent="0.25">
      <c r="A376" s="60">
        <v>6</v>
      </c>
      <c r="B376" s="60"/>
      <c r="C376" s="61" t="s">
        <v>31</v>
      </c>
      <c r="D376" s="62">
        <f>_xlfn.XLOOKUP(A376,SOV!$A$9:$A$27,SOV!$C$9:$C$27)</f>
        <v>317600</v>
      </c>
      <c r="E376" s="62">
        <v>240688.13</v>
      </c>
      <c r="F376" s="62"/>
      <c r="G376" s="63"/>
      <c r="H376" s="64"/>
      <c r="I376" s="62"/>
      <c r="J376" s="63"/>
      <c r="K376" s="62">
        <f>+K377+K391+K403+K412+K419+K423</f>
        <v>61201.96132682162</v>
      </c>
      <c r="L376" s="62">
        <f t="shared" si="467"/>
        <v>152754.1522051793</v>
      </c>
      <c r="M376" s="69">
        <f t="shared" si="541"/>
        <v>0</v>
      </c>
      <c r="N376" s="65"/>
      <c r="O376" s="63"/>
      <c r="P376" s="62">
        <f>+P377+P391+P403+P412+P419+P423</f>
        <v>45457.430179479394</v>
      </c>
      <c r="Q376" s="62">
        <f t="shared" si="468"/>
        <v>213956.11353200092</v>
      </c>
      <c r="R376" s="69">
        <f t="shared" si="542"/>
        <v>0</v>
      </c>
      <c r="S376" s="65"/>
      <c r="T376" s="63"/>
      <c r="U376" s="62">
        <f>+U377+U391+U403+U412+U419+U423</f>
        <v>58186.482679517787</v>
      </c>
      <c r="V376" s="62">
        <f t="shared" si="460"/>
        <v>259413.54371148031</v>
      </c>
      <c r="W376" s="69">
        <f t="shared" si="543"/>
        <v>0</v>
      </c>
      <c r="X376" s="65"/>
      <c r="Y376" s="63"/>
      <c r="Z376" s="62">
        <f>SUM(Z377,Z391,Z403,Z412,Z419,Z423)</f>
        <v>0</v>
      </c>
      <c r="AA376" s="68">
        <f t="shared" si="461"/>
        <v>317600.0263909981</v>
      </c>
      <c r="AB376" s="69">
        <f t="shared" si="538"/>
        <v>0</v>
      </c>
      <c r="AC376" s="65"/>
      <c r="AD376" s="63"/>
      <c r="AE376" s="62">
        <f>SUM(AE377,AE391,AE403,AE412,AE419,AE423)</f>
        <v>0</v>
      </c>
      <c r="AF376" s="62">
        <f>SUM(AF377,AF391,AF403,AF412,AF419,AF423)</f>
        <v>317600.0263909981</v>
      </c>
      <c r="AG376" s="63"/>
      <c r="AH376" s="65"/>
    </row>
    <row r="377" spans="1:34" ht="15" customHeight="1" outlineLevel="1" x14ac:dyDescent="0.25">
      <c r="A377" s="79"/>
      <c r="B377" s="80"/>
      <c r="C377" s="79" t="s">
        <v>218</v>
      </c>
      <c r="D377" s="81"/>
      <c r="E377" s="81">
        <v>106236.58</v>
      </c>
      <c r="F377" s="81">
        <f t="shared" ref="F377:F422" si="557">$D$376/$E$376*E377</f>
        <v>140184.46945431002</v>
      </c>
      <c r="G377" s="82"/>
      <c r="H377" s="79"/>
      <c r="I377" s="81"/>
      <c r="J377" s="82"/>
      <c r="K377" s="81">
        <f>+K378+K383+K388</f>
        <v>0</v>
      </c>
      <c r="L377" s="62">
        <f t="shared" si="467"/>
        <v>140184.4826498091</v>
      </c>
      <c r="M377" s="69">
        <f t="shared" si="541"/>
        <v>0</v>
      </c>
      <c r="N377" s="83"/>
      <c r="O377" s="82"/>
      <c r="P377" s="81">
        <f>+P378+P383+P388</f>
        <v>0</v>
      </c>
      <c r="Q377" s="62">
        <f t="shared" si="468"/>
        <v>140184.4826498091</v>
      </c>
      <c r="R377" s="69">
        <f t="shared" si="542"/>
        <v>0</v>
      </c>
      <c r="S377" s="83"/>
      <c r="T377" s="82"/>
      <c r="U377" s="81">
        <f>+U378+U383+U388</f>
        <v>0</v>
      </c>
      <c r="V377" s="62">
        <f t="shared" si="460"/>
        <v>140184.4826498091</v>
      </c>
      <c r="W377" s="69">
        <f t="shared" si="543"/>
        <v>0</v>
      </c>
      <c r="X377" s="83"/>
      <c r="Y377" s="82"/>
      <c r="Z377" s="81">
        <f>SUM(Z378,Z383,Z388)</f>
        <v>0</v>
      </c>
      <c r="AA377" s="68">
        <f t="shared" si="461"/>
        <v>140184.4826498091</v>
      </c>
      <c r="AB377" s="69">
        <f t="shared" si="538"/>
        <v>0</v>
      </c>
      <c r="AC377" s="83"/>
      <c r="AD377" s="82"/>
      <c r="AE377" s="81">
        <f>SUM(AE378,AE383,AE388)</f>
        <v>0</v>
      </c>
      <c r="AF377" s="81">
        <f>SUM(AF378,AF383,AF388)</f>
        <v>140184.4826498091</v>
      </c>
      <c r="AG377" s="82"/>
      <c r="AH377" s="83"/>
    </row>
    <row r="378" spans="1:34" ht="15" customHeight="1" outlineLevel="1" x14ac:dyDescent="0.25">
      <c r="A378" s="67"/>
      <c r="B378" s="66">
        <v>3110</v>
      </c>
      <c r="C378" s="67" t="s">
        <v>74</v>
      </c>
      <c r="D378" s="68"/>
      <c r="E378" s="68">
        <v>40233.050000000003</v>
      </c>
      <c r="F378" s="68">
        <f t="shared" si="557"/>
        <v>53089.5174597933</v>
      </c>
      <c r="G378" s="69">
        <v>89</v>
      </c>
      <c r="H378" s="67" t="s">
        <v>42</v>
      </c>
      <c r="I378" s="68">
        <f t="shared" si="534"/>
        <v>596.51143213250896</v>
      </c>
      <c r="J378" s="69"/>
      <c r="K378" s="68">
        <f>+J378*$I378</f>
        <v>0</v>
      </c>
      <c r="L378" s="62">
        <f t="shared" si="467"/>
        <v>53089.5174597933</v>
      </c>
      <c r="M378" s="69">
        <f t="shared" si="541"/>
        <v>89</v>
      </c>
      <c r="N378" s="70">
        <f t="shared" ref="N378" si="558">100%-(L378/$F378)</f>
        <v>0</v>
      </c>
      <c r="O378" s="69"/>
      <c r="P378" s="68"/>
      <c r="Q378" s="62">
        <f t="shared" si="468"/>
        <v>53089.5174597933</v>
      </c>
      <c r="R378" s="69">
        <f t="shared" si="542"/>
        <v>89</v>
      </c>
      <c r="S378" s="70">
        <f t="shared" ref="S378" si="559">100%-(Q378/$F378)</f>
        <v>0</v>
      </c>
      <c r="T378" s="69"/>
      <c r="U378" s="68"/>
      <c r="V378" s="62">
        <f t="shared" si="460"/>
        <v>53089.5174597933</v>
      </c>
      <c r="W378" s="69">
        <f t="shared" si="543"/>
        <v>89</v>
      </c>
      <c r="X378" s="70">
        <f t="shared" ref="X378" si="560">100%-(V378/$F378)</f>
        <v>0</v>
      </c>
      <c r="Y378" s="69"/>
      <c r="Z378" s="68">
        <f>Y378*D378</f>
        <v>0</v>
      </c>
      <c r="AA378" s="68">
        <f t="shared" si="461"/>
        <v>53089.5174597933</v>
      </c>
      <c r="AB378" s="69">
        <f t="shared" si="538"/>
        <v>89</v>
      </c>
      <c r="AC378" s="70">
        <f t="shared" ref="AC378" si="561">100%-(AA378/$F378)</f>
        <v>0</v>
      </c>
      <c r="AD378" s="69"/>
      <c r="AE378" s="68">
        <f>AD378*I378</f>
        <v>0</v>
      </c>
      <c r="AF378" s="68">
        <f>F378-AE378</f>
        <v>53089.5174597933</v>
      </c>
      <c r="AG378" s="69">
        <f>G378-AD378</f>
        <v>89</v>
      </c>
      <c r="AH378" s="70">
        <f t="shared" ref="AH378" si="562">100%-(AF378/$F378)</f>
        <v>0</v>
      </c>
    </row>
    <row r="379" spans="1:34" ht="15" customHeight="1" outlineLevel="2" x14ac:dyDescent="0.25">
      <c r="C379" s="56" t="s">
        <v>219</v>
      </c>
      <c r="E379" s="73">
        <v>19091.46</v>
      </c>
      <c r="F379" s="74">
        <f t="shared" si="557"/>
        <v>25192.134302593149</v>
      </c>
      <c r="G379" s="75">
        <v>560</v>
      </c>
      <c r="H379" s="56" t="s">
        <v>40</v>
      </c>
      <c r="I379" s="73">
        <f t="shared" si="534"/>
        <v>44.985954111773481</v>
      </c>
      <c r="K379" s="68">
        <f t="shared" ref="K379:K388" si="563">+J379*$I379</f>
        <v>0</v>
      </c>
      <c r="L379" s="62">
        <f t="shared" si="467"/>
        <v>0</v>
      </c>
      <c r="M379" s="69">
        <f t="shared" si="541"/>
        <v>0</v>
      </c>
      <c r="Q379" s="62">
        <f t="shared" si="468"/>
        <v>0</v>
      </c>
      <c r="R379" s="69">
        <f t="shared" si="542"/>
        <v>0</v>
      </c>
      <c r="V379" s="62">
        <f t="shared" si="460"/>
        <v>0</v>
      </c>
      <c r="W379" s="69">
        <f t="shared" si="543"/>
        <v>0</v>
      </c>
      <c r="AA379" s="68">
        <f t="shared" si="461"/>
        <v>0</v>
      </c>
      <c r="AB379" s="69">
        <f t="shared" si="538"/>
        <v>0</v>
      </c>
    </row>
    <row r="380" spans="1:34" ht="15" customHeight="1" outlineLevel="2" x14ac:dyDescent="0.25">
      <c r="C380" s="56" t="s">
        <v>220</v>
      </c>
      <c r="E380" s="73">
        <v>16568.13</v>
      </c>
      <c r="F380" s="74">
        <f t="shared" si="557"/>
        <v>21862.474431123796</v>
      </c>
      <c r="G380" s="75">
        <v>486</v>
      </c>
      <c r="H380" s="56" t="s">
        <v>40</v>
      </c>
      <c r="I380" s="73">
        <f t="shared" si="534"/>
        <v>44.984515290378177</v>
      </c>
      <c r="K380" s="68">
        <f t="shared" si="563"/>
        <v>0</v>
      </c>
      <c r="L380" s="62">
        <f t="shared" si="467"/>
        <v>0</v>
      </c>
      <c r="M380" s="69">
        <f t="shared" si="541"/>
        <v>0</v>
      </c>
      <c r="Q380" s="62">
        <f t="shared" si="468"/>
        <v>0</v>
      </c>
      <c r="R380" s="69">
        <f t="shared" si="542"/>
        <v>0</v>
      </c>
      <c r="V380" s="62">
        <f t="shared" si="460"/>
        <v>0</v>
      </c>
      <c r="W380" s="69">
        <f t="shared" si="543"/>
        <v>0</v>
      </c>
      <c r="AA380" s="68">
        <f t="shared" si="461"/>
        <v>0</v>
      </c>
      <c r="AB380" s="69">
        <f t="shared" si="538"/>
        <v>0</v>
      </c>
    </row>
    <row r="381" spans="1:34" ht="15" customHeight="1" outlineLevel="2" x14ac:dyDescent="0.25">
      <c r="C381" s="56" t="s">
        <v>221</v>
      </c>
      <c r="E381" s="73">
        <v>1531.41</v>
      </c>
      <c r="F381" s="74">
        <f t="shared" si="557"/>
        <v>2020.7719258943098</v>
      </c>
      <c r="G381" s="75">
        <v>31</v>
      </c>
      <c r="H381" s="56" t="s">
        <v>40</v>
      </c>
      <c r="I381" s="73">
        <f t="shared" si="534"/>
        <v>65.186191157880955</v>
      </c>
      <c r="K381" s="68">
        <f t="shared" si="563"/>
        <v>0</v>
      </c>
      <c r="L381" s="62">
        <f t="shared" si="467"/>
        <v>0</v>
      </c>
      <c r="M381" s="69">
        <f t="shared" si="541"/>
        <v>0</v>
      </c>
      <c r="Q381" s="62">
        <f t="shared" si="468"/>
        <v>0</v>
      </c>
      <c r="R381" s="69">
        <f t="shared" si="542"/>
        <v>0</v>
      </c>
      <c r="V381" s="62">
        <f t="shared" si="460"/>
        <v>0</v>
      </c>
      <c r="W381" s="69">
        <f t="shared" si="543"/>
        <v>0</v>
      </c>
      <c r="AA381" s="68">
        <f t="shared" si="461"/>
        <v>0</v>
      </c>
      <c r="AB381" s="69">
        <f t="shared" si="538"/>
        <v>0</v>
      </c>
    </row>
    <row r="382" spans="1:34" ht="15" customHeight="1" outlineLevel="2" x14ac:dyDescent="0.25">
      <c r="C382" s="56" t="s">
        <v>222</v>
      </c>
      <c r="E382" s="73">
        <v>3042.05</v>
      </c>
      <c r="F382" s="74">
        <f t="shared" si="557"/>
        <v>4014.1368001820447</v>
      </c>
      <c r="G382" s="75">
        <v>4</v>
      </c>
      <c r="H382" s="56" t="s">
        <v>39</v>
      </c>
      <c r="I382" s="73">
        <f t="shared" si="534"/>
        <v>1003.5342000455112</v>
      </c>
      <c r="K382" s="68">
        <f t="shared" si="563"/>
        <v>0</v>
      </c>
      <c r="L382" s="62">
        <f t="shared" si="467"/>
        <v>0</v>
      </c>
      <c r="M382" s="69">
        <f t="shared" si="541"/>
        <v>0</v>
      </c>
      <c r="Q382" s="62">
        <f t="shared" si="468"/>
        <v>0</v>
      </c>
      <c r="R382" s="69">
        <f t="shared" si="542"/>
        <v>0</v>
      </c>
      <c r="V382" s="62">
        <f t="shared" si="460"/>
        <v>0</v>
      </c>
      <c r="W382" s="69">
        <f t="shared" si="543"/>
        <v>0</v>
      </c>
      <c r="AA382" s="68">
        <f t="shared" si="461"/>
        <v>0</v>
      </c>
      <c r="AB382" s="69">
        <f t="shared" si="538"/>
        <v>0</v>
      </c>
    </row>
    <row r="383" spans="1:34" ht="15" customHeight="1" outlineLevel="1" x14ac:dyDescent="0.25">
      <c r="A383" s="67"/>
      <c r="B383" s="66">
        <v>3120</v>
      </c>
      <c r="C383" s="67" t="s">
        <v>75</v>
      </c>
      <c r="D383" s="68"/>
      <c r="E383" s="68">
        <v>34491.35</v>
      </c>
      <c r="F383" s="68">
        <f t="shared" si="557"/>
        <v>45513.057748215499</v>
      </c>
      <c r="G383" s="69">
        <v>56</v>
      </c>
      <c r="H383" s="67" t="s">
        <v>42</v>
      </c>
      <c r="I383" s="68">
        <f t="shared" si="534"/>
        <v>812.73317407527679</v>
      </c>
      <c r="J383" s="69"/>
      <c r="K383" s="68">
        <f t="shared" si="563"/>
        <v>0</v>
      </c>
      <c r="L383" s="62">
        <f t="shared" si="467"/>
        <v>45513.057748215499</v>
      </c>
      <c r="M383" s="69">
        <f t="shared" si="541"/>
        <v>56</v>
      </c>
      <c r="N383" s="70">
        <f t="shared" ref="N383" si="564">100%-(L383/$F383)</f>
        <v>0</v>
      </c>
      <c r="O383" s="69"/>
      <c r="P383" s="68"/>
      <c r="Q383" s="62">
        <f t="shared" si="468"/>
        <v>45513.057748215499</v>
      </c>
      <c r="R383" s="69">
        <f t="shared" si="542"/>
        <v>56</v>
      </c>
      <c r="S383" s="70">
        <f t="shared" ref="S383" si="565">100%-(Q383/$F383)</f>
        <v>0</v>
      </c>
      <c r="T383" s="69"/>
      <c r="U383" s="68"/>
      <c r="V383" s="62">
        <f t="shared" si="460"/>
        <v>45513.057748215499</v>
      </c>
      <c r="W383" s="69">
        <f t="shared" si="543"/>
        <v>56</v>
      </c>
      <c r="X383" s="70">
        <f t="shared" ref="X383" si="566">100%-(V383/$F383)</f>
        <v>0</v>
      </c>
      <c r="Y383" s="69"/>
      <c r="Z383" s="68">
        <f>Y383*D383</f>
        <v>0</v>
      </c>
      <c r="AA383" s="68">
        <f t="shared" si="461"/>
        <v>45513.057748215499</v>
      </c>
      <c r="AB383" s="69">
        <f t="shared" si="538"/>
        <v>56</v>
      </c>
      <c r="AC383" s="70">
        <f t="shared" ref="AC383" si="567">100%-(AA383/$F383)</f>
        <v>0</v>
      </c>
      <c r="AD383" s="69"/>
      <c r="AE383" s="68">
        <f>AD383*I383</f>
        <v>0</v>
      </c>
      <c r="AF383" s="68">
        <f>F383-AE383</f>
        <v>45513.057748215499</v>
      </c>
      <c r="AG383" s="69">
        <f>G383-AD383</f>
        <v>56</v>
      </c>
      <c r="AH383" s="70">
        <f t="shared" ref="AH383" si="568">100%-(AF383/$F383)</f>
        <v>0</v>
      </c>
    </row>
    <row r="384" spans="1:34" ht="15" customHeight="1" outlineLevel="2" x14ac:dyDescent="0.25">
      <c r="C384" s="56" t="s">
        <v>223</v>
      </c>
      <c r="E384" s="73">
        <v>923.84</v>
      </c>
      <c r="F384" s="74">
        <f t="shared" si="557"/>
        <v>1219.0529877813251</v>
      </c>
      <c r="G384" s="75">
        <v>48</v>
      </c>
      <c r="H384" s="56" t="s">
        <v>40</v>
      </c>
      <c r="I384" s="73">
        <f t="shared" si="534"/>
        <v>25.396937245444274</v>
      </c>
      <c r="K384" s="68">
        <f t="shared" si="563"/>
        <v>0</v>
      </c>
      <c r="L384" s="62">
        <f t="shared" si="467"/>
        <v>0</v>
      </c>
      <c r="M384" s="69">
        <f t="shared" si="541"/>
        <v>0</v>
      </c>
      <c r="Q384" s="62">
        <f t="shared" si="468"/>
        <v>0</v>
      </c>
      <c r="R384" s="69">
        <f t="shared" si="542"/>
        <v>0</v>
      </c>
      <c r="V384" s="62">
        <f t="shared" si="460"/>
        <v>0</v>
      </c>
      <c r="W384" s="69">
        <f t="shared" si="543"/>
        <v>0</v>
      </c>
      <c r="AA384" s="68">
        <f t="shared" si="461"/>
        <v>0</v>
      </c>
      <c r="AB384" s="69">
        <f t="shared" si="538"/>
        <v>0</v>
      </c>
    </row>
    <row r="385" spans="1:34" ht="15" customHeight="1" outlineLevel="2" x14ac:dyDescent="0.25">
      <c r="C385" s="56" t="s">
        <v>224</v>
      </c>
      <c r="E385" s="73">
        <v>1854.11</v>
      </c>
      <c r="F385" s="74">
        <f t="shared" si="557"/>
        <v>2446.5906814764812</v>
      </c>
      <c r="G385" s="75">
        <v>36</v>
      </c>
      <c r="H385" s="56" t="s">
        <v>40</v>
      </c>
      <c r="I385" s="73">
        <f t="shared" si="534"/>
        <v>67.960852263235594</v>
      </c>
      <c r="K385" s="68">
        <f t="shared" si="563"/>
        <v>0</v>
      </c>
      <c r="L385" s="62">
        <f t="shared" si="467"/>
        <v>0</v>
      </c>
      <c r="M385" s="69">
        <f t="shared" si="541"/>
        <v>0</v>
      </c>
      <c r="Q385" s="62">
        <f t="shared" si="468"/>
        <v>0</v>
      </c>
      <c r="R385" s="69">
        <f t="shared" si="542"/>
        <v>0</v>
      </c>
      <c r="V385" s="62">
        <f t="shared" si="460"/>
        <v>0</v>
      </c>
      <c r="W385" s="69">
        <f t="shared" si="543"/>
        <v>0</v>
      </c>
      <c r="AA385" s="68">
        <f t="shared" si="461"/>
        <v>0</v>
      </c>
      <c r="AB385" s="69">
        <f t="shared" si="538"/>
        <v>0</v>
      </c>
    </row>
    <row r="386" spans="1:34" ht="15" customHeight="1" outlineLevel="2" x14ac:dyDescent="0.25">
      <c r="C386" s="56" t="s">
        <v>225</v>
      </c>
      <c r="E386" s="73">
        <v>12092.14</v>
      </c>
      <c r="F386" s="74">
        <f t="shared" si="557"/>
        <v>15956.182234661923</v>
      </c>
      <c r="G386" s="75">
        <v>196</v>
      </c>
      <c r="H386" s="56" t="s">
        <v>40</v>
      </c>
      <c r="I386" s="73">
        <f t="shared" si="534"/>
        <v>81.409093033989407</v>
      </c>
      <c r="K386" s="68">
        <f t="shared" si="563"/>
        <v>0</v>
      </c>
      <c r="L386" s="62">
        <f t="shared" si="467"/>
        <v>0</v>
      </c>
      <c r="M386" s="69">
        <f t="shared" si="541"/>
        <v>0</v>
      </c>
      <c r="Q386" s="62">
        <f t="shared" si="468"/>
        <v>0</v>
      </c>
      <c r="R386" s="69">
        <f t="shared" si="542"/>
        <v>0</v>
      </c>
      <c r="V386" s="62">
        <f t="shared" si="460"/>
        <v>0</v>
      </c>
      <c r="W386" s="69">
        <f t="shared" si="543"/>
        <v>0</v>
      </c>
      <c r="AA386" s="68">
        <f t="shared" si="461"/>
        <v>0</v>
      </c>
      <c r="AB386" s="69">
        <f t="shared" si="538"/>
        <v>0</v>
      </c>
    </row>
    <row r="387" spans="1:34" ht="15" customHeight="1" outlineLevel="2" x14ac:dyDescent="0.25">
      <c r="C387" s="56" t="s">
        <v>226</v>
      </c>
      <c r="E387" s="73">
        <v>19621.25</v>
      </c>
      <c r="F387" s="74">
        <f t="shared" si="557"/>
        <v>25891.218648796679</v>
      </c>
      <c r="G387" s="75">
        <v>284</v>
      </c>
      <c r="H387" s="56" t="s">
        <v>40</v>
      </c>
      <c r="I387" s="73">
        <f t="shared" si="534"/>
        <v>91.166262847875629</v>
      </c>
      <c r="K387" s="68">
        <f t="shared" si="563"/>
        <v>0</v>
      </c>
      <c r="L387" s="62">
        <f t="shared" si="467"/>
        <v>0</v>
      </c>
      <c r="M387" s="69">
        <f t="shared" si="541"/>
        <v>0</v>
      </c>
      <c r="Q387" s="62">
        <f t="shared" si="468"/>
        <v>0</v>
      </c>
      <c r="R387" s="69">
        <f t="shared" si="542"/>
        <v>0</v>
      </c>
      <c r="V387" s="62">
        <f t="shared" si="460"/>
        <v>0</v>
      </c>
      <c r="W387" s="69">
        <f t="shared" si="543"/>
        <v>0</v>
      </c>
      <c r="AA387" s="68">
        <f t="shared" si="461"/>
        <v>0</v>
      </c>
      <c r="AB387" s="69">
        <f t="shared" si="538"/>
        <v>0</v>
      </c>
    </row>
    <row r="388" spans="1:34" ht="15" customHeight="1" outlineLevel="1" x14ac:dyDescent="0.25">
      <c r="A388" s="67"/>
      <c r="B388" s="66">
        <v>3210</v>
      </c>
      <c r="C388" s="67" t="s">
        <v>76</v>
      </c>
      <c r="D388" s="68"/>
      <c r="E388" s="68">
        <v>31512.19</v>
      </c>
      <c r="F388" s="68">
        <f t="shared" si="557"/>
        <v>41581.9074418003</v>
      </c>
      <c r="G388" s="69">
        <v>6114</v>
      </c>
      <c r="H388" s="67" t="s">
        <v>41</v>
      </c>
      <c r="I388" s="68">
        <f t="shared" si="534"/>
        <v>6.8010970627740104</v>
      </c>
      <c r="J388" s="69"/>
      <c r="K388" s="68">
        <f t="shared" si="563"/>
        <v>0</v>
      </c>
      <c r="L388" s="62">
        <f t="shared" si="467"/>
        <v>41581.9074418003</v>
      </c>
      <c r="M388" s="69">
        <f t="shared" si="541"/>
        <v>6114</v>
      </c>
      <c r="N388" s="70">
        <f t="shared" ref="N388" si="569">100%-(L388/$F388)</f>
        <v>0</v>
      </c>
      <c r="O388" s="69"/>
      <c r="P388" s="68"/>
      <c r="Q388" s="62">
        <f t="shared" si="468"/>
        <v>41581.9074418003</v>
      </c>
      <c r="R388" s="69">
        <f t="shared" si="542"/>
        <v>6114</v>
      </c>
      <c r="S388" s="70">
        <f t="shared" ref="S388" si="570">100%-(Q388/$F388)</f>
        <v>0</v>
      </c>
      <c r="T388" s="69"/>
      <c r="U388" s="68"/>
      <c r="V388" s="62">
        <f t="shared" si="460"/>
        <v>41581.9074418003</v>
      </c>
      <c r="W388" s="69">
        <f t="shared" si="543"/>
        <v>6114</v>
      </c>
      <c r="X388" s="70">
        <f t="shared" ref="X388" si="571">100%-(V388/$F388)</f>
        <v>0</v>
      </c>
      <c r="Y388" s="69"/>
      <c r="Z388" s="68">
        <f>Y388*D388</f>
        <v>0</v>
      </c>
      <c r="AA388" s="68">
        <f t="shared" si="461"/>
        <v>41581.9074418003</v>
      </c>
      <c r="AB388" s="69">
        <f t="shared" si="538"/>
        <v>6114</v>
      </c>
      <c r="AC388" s="70">
        <f t="shared" ref="AC388" si="572">100%-(AA388/$F388)</f>
        <v>0</v>
      </c>
      <c r="AD388" s="69"/>
      <c r="AE388" s="68">
        <f>AD388*I388</f>
        <v>0</v>
      </c>
      <c r="AF388" s="68">
        <f>F388-AE388</f>
        <v>41581.9074418003</v>
      </c>
      <c r="AG388" s="69">
        <f>G388-AD388</f>
        <v>6114</v>
      </c>
      <c r="AH388" s="70">
        <f t="shared" ref="AH388" si="573">100%-(AF388/$F388)</f>
        <v>0</v>
      </c>
    </row>
    <row r="389" spans="1:34" ht="15" customHeight="1" outlineLevel="2" x14ac:dyDescent="0.25">
      <c r="C389" s="56" t="s">
        <v>227</v>
      </c>
      <c r="E389" s="73">
        <v>30636.47</v>
      </c>
      <c r="F389" s="74">
        <f t="shared" si="557"/>
        <v>40426.351195632291</v>
      </c>
      <c r="G389" s="75">
        <v>6114</v>
      </c>
      <c r="H389" s="56" t="s">
        <v>41</v>
      </c>
      <c r="I389" s="73">
        <f t="shared" si="534"/>
        <v>6.6120953869205579</v>
      </c>
      <c r="L389" s="62">
        <f t="shared" si="467"/>
        <v>0</v>
      </c>
      <c r="M389" s="69">
        <f t="shared" si="541"/>
        <v>0</v>
      </c>
      <c r="Q389" s="62">
        <f t="shared" si="468"/>
        <v>0</v>
      </c>
      <c r="R389" s="69">
        <f t="shared" si="542"/>
        <v>0</v>
      </c>
      <c r="V389" s="62">
        <f t="shared" ref="V389:V452" si="574">+AA389-U389</f>
        <v>0</v>
      </c>
      <c r="W389" s="69">
        <f t="shared" si="543"/>
        <v>0</v>
      </c>
      <c r="AA389" s="68">
        <f t="shared" ref="AA389:AA452" si="575">+AF389-Z389</f>
        <v>0</v>
      </c>
      <c r="AB389" s="69">
        <f t="shared" si="538"/>
        <v>0</v>
      </c>
    </row>
    <row r="390" spans="1:34" ht="15" customHeight="1" outlineLevel="2" x14ac:dyDescent="0.25">
      <c r="C390" s="56" t="s">
        <v>228</v>
      </c>
      <c r="E390" s="73">
        <v>875.72</v>
      </c>
      <c r="F390" s="74">
        <f t="shared" si="557"/>
        <v>1155.5562461680183</v>
      </c>
      <c r="G390" s="75">
        <v>121</v>
      </c>
      <c r="H390" s="56" t="s">
        <v>41</v>
      </c>
      <c r="I390" s="73">
        <f t="shared" si="534"/>
        <v>9.5500516212232913</v>
      </c>
      <c r="L390" s="62">
        <f t="shared" si="467"/>
        <v>0</v>
      </c>
      <c r="M390" s="69">
        <f t="shared" si="541"/>
        <v>0</v>
      </c>
      <c r="Q390" s="62">
        <f t="shared" si="468"/>
        <v>0</v>
      </c>
      <c r="R390" s="69">
        <f t="shared" si="542"/>
        <v>0</v>
      </c>
      <c r="V390" s="62">
        <f t="shared" si="574"/>
        <v>0</v>
      </c>
      <c r="W390" s="69">
        <f t="shared" si="543"/>
        <v>0</v>
      </c>
      <c r="AA390" s="68">
        <f t="shared" si="575"/>
        <v>0</v>
      </c>
      <c r="AB390" s="69">
        <f t="shared" si="538"/>
        <v>0</v>
      </c>
    </row>
    <row r="391" spans="1:34" ht="15" customHeight="1" outlineLevel="1" x14ac:dyDescent="0.25">
      <c r="A391" s="79"/>
      <c r="B391" s="80"/>
      <c r="C391" s="79" t="s">
        <v>229</v>
      </c>
      <c r="D391" s="81"/>
      <c r="E391" s="81">
        <v>48278.48</v>
      </c>
      <c r="F391" s="81">
        <f t="shared" si="557"/>
        <v>63705.863882859529</v>
      </c>
      <c r="G391" s="82"/>
      <c r="H391" s="79"/>
      <c r="I391" s="81"/>
      <c r="J391" s="82"/>
      <c r="K391" s="81">
        <f>+K392+K397+K400+K401+K402</f>
        <v>58389.410495648459</v>
      </c>
      <c r="L391" s="62">
        <f t="shared" ref="L391:L454" si="576">+Q391-K391</f>
        <v>5316.4665827101635</v>
      </c>
      <c r="M391" s="69">
        <f t="shared" si="541"/>
        <v>0</v>
      </c>
      <c r="N391" s="83"/>
      <c r="O391" s="82"/>
      <c r="P391" s="81">
        <f>+P392+P397+P400+P401+P402</f>
        <v>0</v>
      </c>
      <c r="Q391" s="62">
        <f t="shared" ref="Q391:Q454" si="577">+V391-P391</f>
        <v>63705.877078358622</v>
      </c>
      <c r="R391" s="69">
        <f t="shared" si="542"/>
        <v>0</v>
      </c>
      <c r="S391" s="83"/>
      <c r="T391" s="82"/>
      <c r="U391" s="81">
        <f>+U392+U397+U400+U401+U402</f>
        <v>0</v>
      </c>
      <c r="V391" s="62">
        <f t="shared" si="574"/>
        <v>63705.877078358622</v>
      </c>
      <c r="W391" s="69">
        <f t="shared" si="543"/>
        <v>0</v>
      </c>
      <c r="X391" s="83"/>
      <c r="Y391" s="82"/>
      <c r="Z391" s="81">
        <f>SUM(Z392,Z397,Z400,Z401,Z402)</f>
        <v>0</v>
      </c>
      <c r="AA391" s="68">
        <f t="shared" si="575"/>
        <v>63705.877078358622</v>
      </c>
      <c r="AB391" s="69">
        <f t="shared" si="538"/>
        <v>0</v>
      </c>
      <c r="AC391" s="83"/>
      <c r="AD391" s="82"/>
      <c r="AE391" s="81">
        <f>SUM(AE392,AE397,AE400,AE401,AE402)</f>
        <v>0</v>
      </c>
      <c r="AF391" s="81">
        <f>SUM(AF392,AF397,AF400,AF401,AF402)</f>
        <v>63705.877078358622</v>
      </c>
      <c r="AG391" s="82"/>
      <c r="AH391" s="83"/>
    </row>
    <row r="392" spans="1:34" ht="15" customHeight="1" outlineLevel="1" x14ac:dyDescent="0.25">
      <c r="A392" s="67"/>
      <c r="B392" s="66">
        <v>3110</v>
      </c>
      <c r="C392" s="67" t="s">
        <v>74</v>
      </c>
      <c r="D392" s="68"/>
      <c r="E392" s="68">
        <v>19574.650000000001</v>
      </c>
      <c r="F392" s="68">
        <f t="shared" si="557"/>
        <v>25829.727623044808</v>
      </c>
      <c r="G392" s="69">
        <v>45</v>
      </c>
      <c r="H392" s="67" t="s">
        <v>42</v>
      </c>
      <c r="I392" s="68">
        <f t="shared" si="534"/>
        <v>573.99394717877351</v>
      </c>
      <c r="J392" s="69">
        <v>45</v>
      </c>
      <c r="K392" s="68">
        <f>+J392*$I392</f>
        <v>25829.727623044808</v>
      </c>
      <c r="L392" s="62">
        <f t="shared" si="576"/>
        <v>0</v>
      </c>
      <c r="M392" s="69">
        <f t="shared" si="541"/>
        <v>0</v>
      </c>
      <c r="N392" s="70">
        <f t="shared" ref="N392" si="578">100%-(L392/$F392)</f>
        <v>1</v>
      </c>
      <c r="O392" s="69"/>
      <c r="P392" s="68"/>
      <c r="Q392" s="62">
        <f t="shared" si="577"/>
        <v>25829.727623044808</v>
      </c>
      <c r="R392" s="69">
        <f t="shared" si="542"/>
        <v>45</v>
      </c>
      <c r="S392" s="70">
        <f t="shared" ref="S392" si="579">100%-(Q392/$F392)</f>
        <v>0</v>
      </c>
      <c r="T392" s="69"/>
      <c r="U392" s="68"/>
      <c r="V392" s="62">
        <f t="shared" si="574"/>
        <v>25829.727623044808</v>
      </c>
      <c r="W392" s="69">
        <f t="shared" si="543"/>
        <v>45</v>
      </c>
      <c r="X392" s="70">
        <f t="shared" ref="X392" si="580">100%-(V392/$F392)</f>
        <v>0</v>
      </c>
      <c r="Y392" s="69"/>
      <c r="Z392" s="68">
        <f>Y392*D392</f>
        <v>0</v>
      </c>
      <c r="AA392" s="68">
        <f t="shared" si="575"/>
        <v>25829.727623044808</v>
      </c>
      <c r="AB392" s="69">
        <f t="shared" si="538"/>
        <v>45</v>
      </c>
      <c r="AC392" s="70">
        <f t="shared" ref="AC392" si="581">100%-(AA392/$F392)</f>
        <v>0</v>
      </c>
      <c r="AD392" s="69"/>
      <c r="AE392" s="68">
        <f>AD392*I392</f>
        <v>0</v>
      </c>
      <c r="AF392" s="68">
        <f>F392-AE392</f>
        <v>25829.727623044808</v>
      </c>
      <c r="AG392" s="69">
        <f>G392-AD392</f>
        <v>45</v>
      </c>
      <c r="AH392" s="70">
        <f t="shared" ref="AH392" si="582">100%-(AF392/$F392)</f>
        <v>0</v>
      </c>
    </row>
    <row r="393" spans="1:34" ht="15" customHeight="1" outlineLevel="2" x14ac:dyDescent="0.25">
      <c r="C393" s="56" t="s">
        <v>219</v>
      </c>
      <c r="E393" s="73">
        <v>2795.53</v>
      </c>
      <c r="F393" s="74">
        <f t="shared" si="557"/>
        <v>3688.8413566551867</v>
      </c>
      <c r="G393" s="75">
        <v>82</v>
      </c>
      <c r="H393" s="56" t="s">
        <v>40</v>
      </c>
      <c r="I393" s="73">
        <f t="shared" si="534"/>
        <v>44.985870203112036</v>
      </c>
      <c r="J393" s="75">
        <v>0</v>
      </c>
      <c r="K393" s="68">
        <f t="shared" ref="K393:K402" si="583">+J393*$I393</f>
        <v>0</v>
      </c>
      <c r="L393" s="62">
        <f t="shared" si="576"/>
        <v>0</v>
      </c>
      <c r="M393" s="69">
        <f t="shared" si="541"/>
        <v>0</v>
      </c>
      <c r="Q393" s="62">
        <f t="shared" si="577"/>
        <v>0</v>
      </c>
      <c r="R393" s="69">
        <f t="shared" si="542"/>
        <v>0</v>
      </c>
      <c r="V393" s="62">
        <f t="shared" si="574"/>
        <v>0</v>
      </c>
      <c r="W393" s="69">
        <f t="shared" si="543"/>
        <v>0</v>
      </c>
      <c r="AA393" s="68">
        <f t="shared" si="575"/>
        <v>0</v>
      </c>
      <c r="AB393" s="69">
        <f t="shared" si="538"/>
        <v>0</v>
      </c>
    </row>
    <row r="394" spans="1:34" ht="15" customHeight="1" outlineLevel="2" x14ac:dyDescent="0.25">
      <c r="C394" s="56" t="s">
        <v>220</v>
      </c>
      <c r="E394" s="73">
        <v>5931.8</v>
      </c>
      <c r="F394" s="74">
        <f t="shared" si="557"/>
        <v>7827.306149247991</v>
      </c>
      <c r="G394" s="75">
        <v>174</v>
      </c>
      <c r="H394" s="56" t="s">
        <v>40</v>
      </c>
      <c r="I394" s="73">
        <f t="shared" si="534"/>
        <v>44.984518099126383</v>
      </c>
      <c r="J394" s="75">
        <v>0</v>
      </c>
      <c r="K394" s="68">
        <f t="shared" si="583"/>
        <v>0</v>
      </c>
      <c r="L394" s="62">
        <f t="shared" si="576"/>
        <v>0</v>
      </c>
      <c r="M394" s="69">
        <f t="shared" si="541"/>
        <v>0</v>
      </c>
      <c r="Q394" s="62">
        <f t="shared" si="577"/>
        <v>0</v>
      </c>
      <c r="R394" s="69">
        <f t="shared" si="542"/>
        <v>0</v>
      </c>
      <c r="V394" s="62">
        <f t="shared" si="574"/>
        <v>0</v>
      </c>
      <c r="W394" s="69">
        <f t="shared" si="543"/>
        <v>0</v>
      </c>
      <c r="AA394" s="68">
        <f t="shared" si="575"/>
        <v>0</v>
      </c>
      <c r="AB394" s="69">
        <f t="shared" si="538"/>
        <v>0</v>
      </c>
    </row>
    <row r="395" spans="1:34" ht="15" customHeight="1" outlineLevel="2" x14ac:dyDescent="0.25">
      <c r="C395" s="56" t="s">
        <v>221</v>
      </c>
      <c r="E395" s="73">
        <v>7805.27</v>
      </c>
      <c r="F395" s="74">
        <f t="shared" si="557"/>
        <v>10299.443316959585</v>
      </c>
      <c r="G395" s="75">
        <v>158</v>
      </c>
      <c r="H395" s="56" t="s">
        <v>40</v>
      </c>
      <c r="I395" s="73">
        <f t="shared" si="534"/>
        <v>65.186350107339152</v>
      </c>
      <c r="J395" s="75">
        <v>0</v>
      </c>
      <c r="K395" s="68">
        <f t="shared" si="583"/>
        <v>0</v>
      </c>
      <c r="L395" s="62">
        <f t="shared" si="576"/>
        <v>0</v>
      </c>
      <c r="M395" s="69">
        <f t="shared" si="541"/>
        <v>0</v>
      </c>
      <c r="Q395" s="62">
        <f t="shared" si="577"/>
        <v>0</v>
      </c>
      <c r="R395" s="69">
        <f t="shared" si="542"/>
        <v>0</v>
      </c>
      <c r="V395" s="62">
        <f t="shared" si="574"/>
        <v>0</v>
      </c>
      <c r="W395" s="69">
        <f t="shared" si="543"/>
        <v>0</v>
      </c>
      <c r="AA395" s="68">
        <f t="shared" si="575"/>
        <v>0</v>
      </c>
      <c r="AB395" s="69">
        <f t="shared" si="538"/>
        <v>0</v>
      </c>
    </row>
    <row r="396" spans="1:34" ht="15" customHeight="1" outlineLevel="2" x14ac:dyDescent="0.25">
      <c r="C396" s="56" t="s">
        <v>222</v>
      </c>
      <c r="E396" s="73">
        <v>3042.05</v>
      </c>
      <c r="F396" s="74">
        <f t="shared" si="557"/>
        <v>4014.1368001820447</v>
      </c>
      <c r="G396" s="75">
        <v>4</v>
      </c>
      <c r="H396" s="56" t="s">
        <v>39</v>
      </c>
      <c r="I396" s="73">
        <f t="shared" si="534"/>
        <v>1003.5342000455112</v>
      </c>
      <c r="J396" s="75">
        <v>0</v>
      </c>
      <c r="K396" s="68">
        <f t="shared" si="583"/>
        <v>0</v>
      </c>
      <c r="L396" s="62">
        <f t="shared" si="576"/>
        <v>0</v>
      </c>
      <c r="M396" s="69">
        <f t="shared" si="541"/>
        <v>0</v>
      </c>
      <c r="Q396" s="62">
        <f t="shared" si="577"/>
        <v>0</v>
      </c>
      <c r="R396" s="69">
        <f t="shared" si="542"/>
        <v>0</v>
      </c>
      <c r="V396" s="62">
        <f t="shared" si="574"/>
        <v>0</v>
      </c>
      <c r="W396" s="69">
        <f t="shared" si="543"/>
        <v>0</v>
      </c>
      <c r="AA396" s="68">
        <f t="shared" si="575"/>
        <v>0</v>
      </c>
      <c r="AB396" s="69">
        <f t="shared" si="538"/>
        <v>0</v>
      </c>
    </row>
    <row r="397" spans="1:34" ht="15" customHeight="1" outlineLevel="1" x14ac:dyDescent="0.25">
      <c r="A397" s="67"/>
      <c r="B397" s="66">
        <v>3120</v>
      </c>
      <c r="C397" s="67" t="s">
        <v>75</v>
      </c>
      <c r="D397" s="68"/>
      <c r="E397" s="68">
        <v>14111.92</v>
      </c>
      <c r="F397" s="68">
        <f t="shared" si="557"/>
        <v>18621.382749535675</v>
      </c>
      <c r="G397" s="69">
        <v>24</v>
      </c>
      <c r="H397" s="67" t="s">
        <v>42</v>
      </c>
      <c r="I397" s="68">
        <f t="shared" si="534"/>
        <v>775.89094789731973</v>
      </c>
      <c r="J397" s="69">
        <v>24</v>
      </c>
      <c r="K397" s="68">
        <f t="shared" si="583"/>
        <v>18621.382749535675</v>
      </c>
      <c r="L397" s="62">
        <f t="shared" si="576"/>
        <v>0</v>
      </c>
      <c r="M397" s="69">
        <f t="shared" si="541"/>
        <v>0</v>
      </c>
      <c r="N397" s="70">
        <f t="shared" ref="N397" si="584">100%-(L397/$F397)</f>
        <v>1</v>
      </c>
      <c r="O397" s="69"/>
      <c r="P397" s="68"/>
      <c r="Q397" s="62">
        <f t="shared" si="577"/>
        <v>18621.382749535675</v>
      </c>
      <c r="R397" s="69">
        <f t="shared" si="542"/>
        <v>24</v>
      </c>
      <c r="S397" s="70">
        <f t="shared" ref="S397" si="585">100%-(Q397/$F397)</f>
        <v>0</v>
      </c>
      <c r="T397" s="69"/>
      <c r="U397" s="68"/>
      <c r="V397" s="62">
        <f t="shared" si="574"/>
        <v>18621.382749535675</v>
      </c>
      <c r="W397" s="69">
        <f t="shared" si="543"/>
        <v>24</v>
      </c>
      <c r="X397" s="70">
        <f t="shared" ref="X397" si="586">100%-(V397/$F397)</f>
        <v>0</v>
      </c>
      <c r="Y397" s="69"/>
      <c r="Z397" s="68">
        <f>Y397*D397</f>
        <v>0</v>
      </c>
      <c r="AA397" s="68">
        <f t="shared" si="575"/>
        <v>18621.382749535675</v>
      </c>
      <c r="AB397" s="69">
        <f t="shared" si="538"/>
        <v>24</v>
      </c>
      <c r="AC397" s="70">
        <f t="shared" ref="AC397" si="587">100%-(AA397/$F397)</f>
        <v>0</v>
      </c>
      <c r="AD397" s="69"/>
      <c r="AE397" s="68">
        <f>AD397*I397</f>
        <v>0</v>
      </c>
      <c r="AF397" s="68">
        <f>F397-AE397</f>
        <v>18621.382749535675</v>
      </c>
      <c r="AG397" s="69">
        <f>G397-AD397</f>
        <v>24</v>
      </c>
      <c r="AH397" s="70">
        <f t="shared" ref="AH397" si="588">100%-(AF397/$F397)</f>
        <v>0</v>
      </c>
    </row>
    <row r="398" spans="1:34" ht="15" customHeight="1" outlineLevel="2" x14ac:dyDescent="0.25">
      <c r="C398" s="56" t="s">
        <v>225</v>
      </c>
      <c r="E398" s="73">
        <v>3886.76</v>
      </c>
      <c r="F398" s="74">
        <f t="shared" si="557"/>
        <v>5128.7738036769824</v>
      </c>
      <c r="G398" s="75">
        <v>63</v>
      </c>
      <c r="H398" s="56" t="s">
        <v>40</v>
      </c>
      <c r="I398" s="73">
        <f t="shared" si="534"/>
        <v>81.409107994872741</v>
      </c>
      <c r="J398" s="75">
        <v>0</v>
      </c>
      <c r="K398" s="68">
        <f t="shared" si="583"/>
        <v>0</v>
      </c>
      <c r="L398" s="62">
        <f t="shared" si="576"/>
        <v>0</v>
      </c>
      <c r="M398" s="69">
        <f t="shared" si="541"/>
        <v>0</v>
      </c>
      <c r="Q398" s="62">
        <f t="shared" si="577"/>
        <v>0</v>
      </c>
      <c r="R398" s="69">
        <f t="shared" si="542"/>
        <v>0</v>
      </c>
      <c r="V398" s="62">
        <f t="shared" si="574"/>
        <v>0</v>
      </c>
      <c r="W398" s="69">
        <f t="shared" si="543"/>
        <v>0</v>
      </c>
      <c r="AA398" s="68">
        <f t="shared" si="575"/>
        <v>0</v>
      </c>
      <c r="AB398" s="69">
        <f t="shared" si="538"/>
        <v>0</v>
      </c>
    </row>
    <row r="399" spans="1:34" ht="15" customHeight="1" outlineLevel="2" x14ac:dyDescent="0.25">
      <c r="C399" s="56" t="s">
        <v>226</v>
      </c>
      <c r="E399" s="73">
        <v>10225.16</v>
      </c>
      <c r="F399" s="74">
        <f t="shared" si="557"/>
        <v>13492.608945858692</v>
      </c>
      <c r="G399" s="75">
        <v>148</v>
      </c>
      <c r="H399" s="56" t="s">
        <v>40</v>
      </c>
      <c r="I399" s="73">
        <f t="shared" si="534"/>
        <v>91.166276661207377</v>
      </c>
      <c r="J399" s="75">
        <v>0</v>
      </c>
      <c r="K399" s="68">
        <f t="shared" si="583"/>
        <v>0</v>
      </c>
      <c r="L399" s="62">
        <f t="shared" si="576"/>
        <v>0</v>
      </c>
      <c r="M399" s="69">
        <f t="shared" si="541"/>
        <v>0</v>
      </c>
      <c r="Q399" s="62">
        <f t="shared" si="577"/>
        <v>0</v>
      </c>
      <c r="R399" s="69">
        <f t="shared" si="542"/>
        <v>0</v>
      </c>
      <c r="V399" s="62">
        <f t="shared" si="574"/>
        <v>0</v>
      </c>
      <c r="W399" s="69">
        <f t="shared" si="543"/>
        <v>0</v>
      </c>
      <c r="AA399" s="68">
        <f t="shared" si="575"/>
        <v>0</v>
      </c>
      <c r="AB399" s="69">
        <f t="shared" si="538"/>
        <v>0</v>
      </c>
    </row>
    <row r="400" spans="1:34" ht="15" customHeight="1" outlineLevel="1" x14ac:dyDescent="0.25">
      <c r="A400" s="67"/>
      <c r="B400" s="66">
        <v>3210</v>
      </c>
      <c r="C400" s="67" t="s">
        <v>76</v>
      </c>
      <c r="D400" s="68"/>
      <c r="E400" s="68">
        <v>10562.92</v>
      </c>
      <c r="F400" s="68">
        <f t="shared" si="557"/>
        <v>13938.300123067971</v>
      </c>
      <c r="G400" s="69">
        <v>2108</v>
      </c>
      <c r="H400" s="67" t="s">
        <v>41</v>
      </c>
      <c r="I400" s="68">
        <f t="shared" si="534"/>
        <v>6.612096832574939</v>
      </c>
      <c r="J400" s="69">
        <v>2108</v>
      </c>
      <c r="K400" s="68">
        <f t="shared" si="583"/>
        <v>13938.300123067971</v>
      </c>
      <c r="L400" s="62">
        <f t="shared" si="576"/>
        <v>0</v>
      </c>
      <c r="M400" s="69">
        <f t="shared" si="541"/>
        <v>0</v>
      </c>
      <c r="N400" s="70">
        <f t="shared" ref="N400:N402" si="589">100%-(L400/$F400)</f>
        <v>1</v>
      </c>
      <c r="O400" s="69"/>
      <c r="P400" s="68"/>
      <c r="Q400" s="62">
        <f t="shared" si="577"/>
        <v>13938.300123067971</v>
      </c>
      <c r="R400" s="69">
        <f t="shared" si="542"/>
        <v>2108</v>
      </c>
      <c r="S400" s="70">
        <f t="shared" ref="S400:S402" si="590">100%-(Q400/$F400)</f>
        <v>0</v>
      </c>
      <c r="T400" s="69"/>
      <c r="U400" s="68"/>
      <c r="V400" s="62">
        <f t="shared" si="574"/>
        <v>13938.300123067971</v>
      </c>
      <c r="W400" s="69">
        <f t="shared" si="543"/>
        <v>2108</v>
      </c>
      <c r="X400" s="70">
        <f t="shared" ref="X400:X402" si="591">100%-(V400/$F400)</f>
        <v>0</v>
      </c>
      <c r="Y400" s="69"/>
      <c r="Z400" s="68">
        <f>Y400*D400</f>
        <v>0</v>
      </c>
      <c r="AA400" s="68">
        <f t="shared" si="575"/>
        <v>13938.300123067971</v>
      </c>
      <c r="AB400" s="69">
        <f t="shared" si="538"/>
        <v>2108</v>
      </c>
      <c r="AC400" s="70">
        <f t="shared" ref="AC400:AC402" si="592">100%-(AA400/$F400)</f>
        <v>0</v>
      </c>
      <c r="AD400" s="69"/>
      <c r="AE400" s="68">
        <f>AD400*I400</f>
        <v>0</v>
      </c>
      <c r="AF400" s="68">
        <f>F400-AE400</f>
        <v>13938.300123067971</v>
      </c>
      <c r="AG400" s="69">
        <f>G400-AD400</f>
        <v>2108</v>
      </c>
      <c r="AH400" s="70">
        <f t="shared" ref="AH400:AH402" si="593">100%-(AF400/$F400)</f>
        <v>0</v>
      </c>
    </row>
    <row r="401" spans="1:34" ht="15" customHeight="1" outlineLevel="1" x14ac:dyDescent="0.25">
      <c r="A401" s="67"/>
      <c r="B401" s="66">
        <v>3220</v>
      </c>
      <c r="C401" s="67" t="s">
        <v>77</v>
      </c>
      <c r="D401" s="68"/>
      <c r="E401" s="68">
        <v>3265.68</v>
      </c>
      <c r="F401" s="68">
        <f t="shared" si="557"/>
        <v>4309.2277462955899</v>
      </c>
      <c r="G401" s="69">
        <v>528</v>
      </c>
      <c r="H401" s="67" t="s">
        <v>41</v>
      </c>
      <c r="I401" s="68">
        <f t="shared" si="534"/>
        <v>8.1614161861658907</v>
      </c>
      <c r="J401" s="69"/>
      <c r="K401" s="68">
        <f t="shared" si="583"/>
        <v>0</v>
      </c>
      <c r="L401" s="62">
        <f t="shared" si="576"/>
        <v>4309.2277462955899</v>
      </c>
      <c r="M401" s="69">
        <f t="shared" si="541"/>
        <v>528</v>
      </c>
      <c r="N401" s="70">
        <f t="shared" si="589"/>
        <v>0</v>
      </c>
      <c r="O401" s="69"/>
      <c r="P401" s="68"/>
      <c r="Q401" s="62">
        <f t="shared" si="577"/>
        <v>4309.2277462955899</v>
      </c>
      <c r="R401" s="69">
        <f t="shared" si="542"/>
        <v>528</v>
      </c>
      <c r="S401" s="70">
        <f t="shared" si="590"/>
        <v>0</v>
      </c>
      <c r="T401" s="69"/>
      <c r="U401" s="68"/>
      <c r="V401" s="62">
        <f t="shared" si="574"/>
        <v>4309.2277462955899</v>
      </c>
      <c r="W401" s="69">
        <f t="shared" si="543"/>
        <v>528</v>
      </c>
      <c r="X401" s="70">
        <f t="shared" si="591"/>
        <v>0</v>
      </c>
      <c r="Y401" s="69"/>
      <c r="Z401" s="68">
        <f>Y401*D401</f>
        <v>0</v>
      </c>
      <c r="AA401" s="68">
        <f t="shared" si="575"/>
        <v>4309.2277462955899</v>
      </c>
      <c r="AB401" s="69">
        <f t="shared" si="538"/>
        <v>528</v>
      </c>
      <c r="AC401" s="70">
        <f t="shared" si="592"/>
        <v>0</v>
      </c>
      <c r="AD401" s="69"/>
      <c r="AE401" s="68">
        <f>AD401*I401</f>
        <v>0</v>
      </c>
      <c r="AF401" s="68">
        <f>F401-AE401</f>
        <v>4309.2277462955899</v>
      </c>
      <c r="AG401" s="69">
        <f>G401-AD401</f>
        <v>528</v>
      </c>
      <c r="AH401" s="70">
        <f t="shared" si="593"/>
        <v>0</v>
      </c>
    </row>
    <row r="402" spans="1:34" ht="15" customHeight="1" outlineLevel="1" x14ac:dyDescent="0.25">
      <c r="A402" s="67"/>
      <c r="B402" s="66">
        <v>3230</v>
      </c>
      <c r="C402" s="67" t="s">
        <v>78</v>
      </c>
      <c r="D402" s="68"/>
      <c r="E402" s="68">
        <v>763.32</v>
      </c>
      <c r="F402" s="68">
        <f t="shared" si="557"/>
        <v>1007.2388364145752</v>
      </c>
      <c r="G402" s="69">
        <v>76</v>
      </c>
      <c r="H402" s="67" t="s">
        <v>41</v>
      </c>
      <c r="I402" s="68">
        <f t="shared" si="534"/>
        <v>13.253142584402305</v>
      </c>
      <c r="J402" s="69"/>
      <c r="K402" s="68">
        <f t="shared" si="583"/>
        <v>0</v>
      </c>
      <c r="L402" s="62">
        <f t="shared" si="576"/>
        <v>1007.2388364145752</v>
      </c>
      <c r="M402" s="69">
        <f t="shared" si="541"/>
        <v>76</v>
      </c>
      <c r="N402" s="70">
        <f t="shared" si="589"/>
        <v>0</v>
      </c>
      <c r="O402" s="69"/>
      <c r="P402" s="68"/>
      <c r="Q402" s="62">
        <f t="shared" si="577"/>
        <v>1007.2388364145752</v>
      </c>
      <c r="R402" s="69">
        <f t="shared" si="542"/>
        <v>76</v>
      </c>
      <c r="S402" s="70">
        <f t="shared" si="590"/>
        <v>0</v>
      </c>
      <c r="T402" s="69"/>
      <c r="U402" s="68"/>
      <c r="V402" s="62">
        <f t="shared" si="574"/>
        <v>1007.2388364145752</v>
      </c>
      <c r="W402" s="69">
        <f t="shared" si="543"/>
        <v>76</v>
      </c>
      <c r="X402" s="70">
        <f t="shared" si="591"/>
        <v>0</v>
      </c>
      <c r="Y402" s="69"/>
      <c r="Z402" s="68">
        <f>Y402*D402</f>
        <v>0</v>
      </c>
      <c r="AA402" s="68">
        <f t="shared" si="575"/>
        <v>1007.2388364145752</v>
      </c>
      <c r="AB402" s="69">
        <f t="shared" si="538"/>
        <v>76</v>
      </c>
      <c r="AC402" s="70">
        <f t="shared" si="592"/>
        <v>0</v>
      </c>
      <c r="AD402" s="69"/>
      <c r="AE402" s="68">
        <f>AD402*I402</f>
        <v>0</v>
      </c>
      <c r="AF402" s="68">
        <f>F402-AE402</f>
        <v>1007.2388364145752</v>
      </c>
      <c r="AG402" s="69">
        <f>G402-AD402</f>
        <v>76</v>
      </c>
      <c r="AH402" s="70">
        <f t="shared" si="593"/>
        <v>0</v>
      </c>
    </row>
    <row r="403" spans="1:34" ht="15" customHeight="1" outlineLevel="1" x14ac:dyDescent="0.25">
      <c r="A403" s="79"/>
      <c r="B403" s="80"/>
      <c r="C403" s="79" t="s">
        <v>230</v>
      </c>
      <c r="D403" s="81"/>
      <c r="E403" s="81">
        <v>52720.01</v>
      </c>
      <c r="F403" s="81">
        <f t="shared" si="557"/>
        <v>69566.684389462825</v>
      </c>
      <c r="G403" s="82"/>
      <c r="H403" s="79"/>
      <c r="I403" s="81"/>
      <c r="J403" s="82"/>
      <c r="K403" s="81">
        <f>+K404+K408+K411</f>
        <v>0</v>
      </c>
      <c r="L403" s="62">
        <f t="shared" si="576"/>
        <v>0</v>
      </c>
      <c r="M403" s="69">
        <f t="shared" si="541"/>
        <v>0</v>
      </c>
      <c r="N403" s="83"/>
      <c r="O403" s="82"/>
      <c r="P403" s="81">
        <f>+P404+P408+P411</f>
        <v>34247.298310014179</v>
      </c>
      <c r="Q403" s="62">
        <f t="shared" si="577"/>
        <v>0</v>
      </c>
      <c r="R403" s="69">
        <f t="shared" si="542"/>
        <v>0</v>
      </c>
      <c r="S403" s="83"/>
      <c r="T403" s="82"/>
      <c r="U403" s="81">
        <f>+U404+U408+U411</f>
        <v>35319.386079448646</v>
      </c>
      <c r="V403" s="62">
        <f t="shared" si="574"/>
        <v>34247.298310014179</v>
      </c>
      <c r="W403" s="69">
        <f t="shared" si="543"/>
        <v>0</v>
      </c>
      <c r="X403" s="83"/>
      <c r="Y403" s="82"/>
      <c r="Z403" s="81">
        <f>SUM(Z404,Z408,Z411)</f>
        <v>0</v>
      </c>
      <c r="AA403" s="68">
        <f t="shared" si="575"/>
        <v>69566.684389462825</v>
      </c>
      <c r="AB403" s="69">
        <f t="shared" si="538"/>
        <v>0</v>
      </c>
      <c r="AC403" s="83"/>
      <c r="AD403" s="82"/>
      <c r="AE403" s="81">
        <f>SUM(AE404,AE408,AE411)</f>
        <v>0</v>
      </c>
      <c r="AF403" s="81">
        <f>SUM(AF404,AF408,AF411)</f>
        <v>69566.684389462825</v>
      </c>
      <c r="AG403" s="82"/>
      <c r="AH403" s="83"/>
    </row>
    <row r="404" spans="1:34" ht="15" customHeight="1" outlineLevel="1" x14ac:dyDescent="0.25">
      <c r="A404" s="67"/>
      <c r="B404" s="66">
        <v>3110</v>
      </c>
      <c r="C404" s="67" t="s">
        <v>74</v>
      </c>
      <c r="D404" s="68"/>
      <c r="E404" s="68">
        <v>17017.22</v>
      </c>
      <c r="F404" s="68">
        <f t="shared" si="557"/>
        <v>22455.071099684061</v>
      </c>
      <c r="G404" s="69">
        <v>38</v>
      </c>
      <c r="H404" s="67" t="s">
        <v>42</v>
      </c>
      <c r="I404" s="68">
        <f t="shared" si="534"/>
        <v>590.9229236758963</v>
      </c>
      <c r="J404" s="69"/>
      <c r="K404" s="68">
        <f>+J404*$I404</f>
        <v>0</v>
      </c>
      <c r="L404" s="62">
        <f t="shared" si="576"/>
        <v>0</v>
      </c>
      <c r="M404" s="69">
        <f t="shared" si="541"/>
        <v>0</v>
      </c>
      <c r="N404" s="70">
        <f t="shared" ref="N404" si="594">100%-(L404/$F404)</f>
        <v>1</v>
      </c>
      <c r="O404" s="69">
        <v>8</v>
      </c>
      <c r="P404" s="68">
        <f>+O404*$I404</f>
        <v>4727.3833894071704</v>
      </c>
      <c r="Q404" s="62">
        <f t="shared" si="577"/>
        <v>0</v>
      </c>
      <c r="R404" s="69">
        <f t="shared" si="542"/>
        <v>0</v>
      </c>
      <c r="S404" s="70">
        <f t="shared" ref="S404" si="595">100%-(Q404/$F404)</f>
        <v>1</v>
      </c>
      <c r="T404" s="69">
        <v>30</v>
      </c>
      <c r="U404" s="68">
        <f>+T404*$I404</f>
        <v>17727.687710276889</v>
      </c>
      <c r="V404" s="62">
        <f t="shared" si="574"/>
        <v>4727.3833894071722</v>
      </c>
      <c r="W404" s="69">
        <f t="shared" si="543"/>
        <v>8</v>
      </c>
      <c r="X404" s="70">
        <f t="shared" ref="X404" si="596">100%-(V404/$F404)</f>
        <v>0.78947368421052622</v>
      </c>
      <c r="Y404" s="69"/>
      <c r="Z404" s="68">
        <f>Y404*D404</f>
        <v>0</v>
      </c>
      <c r="AA404" s="68">
        <f t="shared" si="575"/>
        <v>22455.071099684061</v>
      </c>
      <c r="AB404" s="69">
        <f t="shared" si="538"/>
        <v>38</v>
      </c>
      <c r="AC404" s="70">
        <f t="shared" ref="AC404" si="597">100%-(AA404/$F404)</f>
        <v>0</v>
      </c>
      <c r="AD404" s="69"/>
      <c r="AE404" s="68">
        <f>AD404*I404</f>
        <v>0</v>
      </c>
      <c r="AF404" s="68">
        <f>F404-AE404</f>
        <v>22455.071099684061</v>
      </c>
      <c r="AG404" s="69">
        <f>G404-AD404</f>
        <v>38</v>
      </c>
      <c r="AH404" s="70">
        <f t="shared" ref="AH404" si="598">100%-(AF404/$F404)</f>
        <v>0</v>
      </c>
    </row>
    <row r="405" spans="1:34" ht="15" customHeight="1" outlineLevel="2" x14ac:dyDescent="0.25">
      <c r="C405" s="56" t="s">
        <v>219</v>
      </c>
      <c r="E405" s="73">
        <v>1329.58</v>
      </c>
      <c r="F405" s="74">
        <f t="shared" si="557"/>
        <v>1754.4471677934428</v>
      </c>
      <c r="G405" s="75">
        <v>39</v>
      </c>
      <c r="H405" s="56" t="s">
        <v>40</v>
      </c>
      <c r="I405" s="73">
        <f t="shared" si="534"/>
        <v>44.985824815216482</v>
      </c>
      <c r="K405" s="68">
        <f t="shared" ref="K405:K411" si="599">+J405*$I405</f>
        <v>0</v>
      </c>
      <c r="L405" s="62">
        <f t="shared" si="576"/>
        <v>0</v>
      </c>
      <c r="M405" s="69">
        <f t="shared" si="541"/>
        <v>0</v>
      </c>
      <c r="O405" s="75">
        <v>0</v>
      </c>
      <c r="P405" s="68">
        <f t="shared" ref="P405:P411" si="600">+O405*$I405</f>
        <v>0</v>
      </c>
      <c r="Q405" s="62">
        <f t="shared" si="577"/>
        <v>0</v>
      </c>
      <c r="R405" s="69">
        <f t="shared" si="542"/>
        <v>0</v>
      </c>
      <c r="T405" s="75">
        <v>0</v>
      </c>
      <c r="U405" s="68">
        <f t="shared" ref="U405:U411" si="601">+T405*$I405</f>
        <v>0</v>
      </c>
      <c r="V405" s="62">
        <f t="shared" si="574"/>
        <v>0</v>
      </c>
      <c r="W405" s="69">
        <f t="shared" si="543"/>
        <v>0</v>
      </c>
      <c r="AA405" s="68">
        <f t="shared" si="575"/>
        <v>0</v>
      </c>
      <c r="AB405" s="69">
        <f t="shared" si="538"/>
        <v>0</v>
      </c>
    </row>
    <row r="406" spans="1:34" ht="15" customHeight="1" outlineLevel="2" x14ac:dyDescent="0.25">
      <c r="C406" s="56" t="s">
        <v>220</v>
      </c>
      <c r="E406" s="73">
        <v>11488.6</v>
      </c>
      <c r="F406" s="74">
        <f t="shared" si="557"/>
        <v>15159.781082681558</v>
      </c>
      <c r="G406" s="75">
        <v>337</v>
      </c>
      <c r="H406" s="56" t="s">
        <v>40</v>
      </c>
      <c r="I406" s="73">
        <f t="shared" si="534"/>
        <v>44.984513598461596</v>
      </c>
      <c r="K406" s="68">
        <f t="shared" si="599"/>
        <v>0</v>
      </c>
      <c r="L406" s="62">
        <f t="shared" si="576"/>
        <v>0</v>
      </c>
      <c r="M406" s="69">
        <f t="shared" si="541"/>
        <v>0</v>
      </c>
      <c r="O406" s="75">
        <v>0</v>
      </c>
      <c r="P406" s="68">
        <f t="shared" si="600"/>
        <v>0</v>
      </c>
      <c r="Q406" s="62">
        <f t="shared" si="577"/>
        <v>0</v>
      </c>
      <c r="R406" s="69">
        <f t="shared" si="542"/>
        <v>0</v>
      </c>
      <c r="T406" s="75">
        <v>0</v>
      </c>
      <c r="U406" s="68">
        <f t="shared" si="601"/>
        <v>0</v>
      </c>
      <c r="V406" s="62">
        <f t="shared" si="574"/>
        <v>0</v>
      </c>
      <c r="W406" s="69">
        <f t="shared" si="543"/>
        <v>0</v>
      </c>
      <c r="AA406" s="68">
        <f t="shared" si="575"/>
        <v>0</v>
      </c>
      <c r="AB406" s="69">
        <f t="shared" si="538"/>
        <v>0</v>
      </c>
    </row>
    <row r="407" spans="1:34" ht="15" customHeight="1" outlineLevel="2" x14ac:dyDescent="0.25">
      <c r="C407" s="56" t="s">
        <v>221</v>
      </c>
      <c r="E407" s="73">
        <v>4199.04</v>
      </c>
      <c r="F407" s="74">
        <f t="shared" si="557"/>
        <v>5540.842849209057</v>
      </c>
      <c r="G407" s="75">
        <v>85</v>
      </c>
      <c r="H407" s="56" t="s">
        <v>40</v>
      </c>
      <c r="I407" s="73">
        <f t="shared" si="534"/>
        <v>65.186386461283021</v>
      </c>
      <c r="K407" s="68">
        <f t="shared" si="599"/>
        <v>0</v>
      </c>
      <c r="L407" s="62">
        <f t="shared" si="576"/>
        <v>0</v>
      </c>
      <c r="M407" s="69">
        <f t="shared" si="541"/>
        <v>0</v>
      </c>
      <c r="O407" s="75">
        <v>0</v>
      </c>
      <c r="P407" s="68">
        <f t="shared" si="600"/>
        <v>0</v>
      </c>
      <c r="Q407" s="62">
        <f t="shared" si="577"/>
        <v>0</v>
      </c>
      <c r="R407" s="69">
        <f t="shared" si="542"/>
        <v>0</v>
      </c>
      <c r="T407" s="75">
        <v>0</v>
      </c>
      <c r="U407" s="68">
        <f t="shared" si="601"/>
        <v>0</v>
      </c>
      <c r="V407" s="62">
        <f t="shared" si="574"/>
        <v>0</v>
      </c>
      <c r="W407" s="69">
        <f t="shared" si="543"/>
        <v>0</v>
      </c>
      <c r="AA407" s="68">
        <f t="shared" si="575"/>
        <v>0</v>
      </c>
      <c r="AB407" s="69">
        <f t="shared" si="538"/>
        <v>0</v>
      </c>
    </row>
    <row r="408" spans="1:34" ht="15" customHeight="1" outlineLevel="1" x14ac:dyDescent="0.25">
      <c r="A408" s="67"/>
      <c r="B408" s="66">
        <v>3120</v>
      </c>
      <c r="C408" s="67" t="s">
        <v>75</v>
      </c>
      <c r="D408" s="68"/>
      <c r="E408" s="68">
        <v>26663.18</v>
      </c>
      <c r="F408" s="68">
        <f t="shared" si="557"/>
        <v>35183.396738343516</v>
      </c>
      <c r="G408" s="69">
        <v>44</v>
      </c>
      <c r="H408" s="67" t="s">
        <v>42</v>
      </c>
      <c r="I408" s="68">
        <f t="shared" si="534"/>
        <v>799.62265314417084</v>
      </c>
      <c r="J408" s="69"/>
      <c r="K408" s="68">
        <f t="shared" si="599"/>
        <v>0</v>
      </c>
      <c r="L408" s="62">
        <f t="shared" si="576"/>
        <v>0</v>
      </c>
      <c r="M408" s="69">
        <f t="shared" si="541"/>
        <v>0</v>
      </c>
      <c r="N408" s="70">
        <f t="shared" ref="N408" si="602">100%-(L408/$F408)</f>
        <v>1</v>
      </c>
      <c r="O408" s="69">
        <v>22</v>
      </c>
      <c r="P408" s="68">
        <f t="shared" si="600"/>
        <v>17591.698369171758</v>
      </c>
      <c r="Q408" s="62">
        <f t="shared" si="577"/>
        <v>0</v>
      </c>
      <c r="R408" s="69">
        <f t="shared" si="542"/>
        <v>0</v>
      </c>
      <c r="S408" s="70">
        <f t="shared" ref="S408" si="603">100%-(Q408/$F408)</f>
        <v>1</v>
      </c>
      <c r="T408" s="69">
        <v>22</v>
      </c>
      <c r="U408" s="68">
        <f t="shared" si="601"/>
        <v>17591.698369171758</v>
      </c>
      <c r="V408" s="62">
        <f t="shared" si="574"/>
        <v>17591.698369171758</v>
      </c>
      <c r="W408" s="69">
        <f t="shared" si="543"/>
        <v>22</v>
      </c>
      <c r="X408" s="70">
        <f t="shared" ref="X408" si="604">100%-(V408/$F408)</f>
        <v>0.5</v>
      </c>
      <c r="Y408" s="69"/>
      <c r="Z408" s="68">
        <f>Y408*D408</f>
        <v>0</v>
      </c>
      <c r="AA408" s="68">
        <f t="shared" si="575"/>
        <v>35183.396738343516</v>
      </c>
      <c r="AB408" s="69">
        <f t="shared" si="538"/>
        <v>44</v>
      </c>
      <c r="AC408" s="70">
        <f t="shared" ref="AC408" si="605">100%-(AA408/$F408)</f>
        <v>0</v>
      </c>
      <c r="AD408" s="69"/>
      <c r="AE408" s="68">
        <f>AD408*I408</f>
        <v>0</v>
      </c>
      <c r="AF408" s="68">
        <f>F408-AE408</f>
        <v>35183.396738343516</v>
      </c>
      <c r="AG408" s="69">
        <f>G408-AD408</f>
        <v>44</v>
      </c>
      <c r="AH408" s="70">
        <f t="shared" ref="AH408" si="606">100%-(AF408/$F408)</f>
        <v>0</v>
      </c>
    </row>
    <row r="409" spans="1:34" ht="15" customHeight="1" outlineLevel="2" x14ac:dyDescent="0.25">
      <c r="C409" s="56" t="s">
        <v>224</v>
      </c>
      <c r="E409" s="73">
        <v>6489.22</v>
      </c>
      <c r="F409" s="74">
        <f t="shared" si="557"/>
        <v>8562.8496594327262</v>
      </c>
      <c r="G409" s="75">
        <v>126</v>
      </c>
      <c r="H409" s="56" t="s">
        <v>40</v>
      </c>
      <c r="I409" s="73">
        <f t="shared" si="534"/>
        <v>67.959124281212112</v>
      </c>
      <c r="K409" s="68">
        <f t="shared" si="599"/>
        <v>0</v>
      </c>
      <c r="L409" s="62">
        <f t="shared" si="576"/>
        <v>0</v>
      </c>
      <c r="M409" s="69">
        <f t="shared" si="541"/>
        <v>0</v>
      </c>
      <c r="O409" s="75">
        <v>0</v>
      </c>
      <c r="P409" s="68">
        <f t="shared" si="600"/>
        <v>0</v>
      </c>
      <c r="Q409" s="62">
        <f t="shared" si="577"/>
        <v>0</v>
      </c>
      <c r="R409" s="69">
        <f t="shared" si="542"/>
        <v>0</v>
      </c>
      <c r="T409" s="75">
        <v>0</v>
      </c>
      <c r="U409" s="68">
        <f t="shared" si="601"/>
        <v>0</v>
      </c>
      <c r="V409" s="62">
        <f t="shared" si="574"/>
        <v>0</v>
      </c>
      <c r="W409" s="69">
        <f t="shared" si="543"/>
        <v>0</v>
      </c>
      <c r="AA409" s="68">
        <f t="shared" si="575"/>
        <v>0</v>
      </c>
      <c r="AB409" s="69">
        <f t="shared" si="538"/>
        <v>0</v>
      </c>
    </row>
    <row r="410" spans="1:34" ht="15" customHeight="1" outlineLevel="2" x14ac:dyDescent="0.25">
      <c r="C410" s="56" t="s">
        <v>226</v>
      </c>
      <c r="E410" s="73">
        <v>20173.96</v>
      </c>
      <c r="F410" s="74">
        <f t="shared" si="557"/>
        <v>26620.547078910786</v>
      </c>
      <c r="G410" s="75">
        <v>292</v>
      </c>
      <c r="H410" s="56" t="s">
        <v>40</v>
      </c>
      <c r="I410" s="73">
        <f t="shared" si="534"/>
        <v>91.166257119557486</v>
      </c>
      <c r="K410" s="68">
        <f t="shared" si="599"/>
        <v>0</v>
      </c>
      <c r="L410" s="62">
        <f t="shared" si="576"/>
        <v>0</v>
      </c>
      <c r="M410" s="69">
        <f t="shared" si="541"/>
        <v>0</v>
      </c>
      <c r="O410" s="75">
        <v>0</v>
      </c>
      <c r="P410" s="68">
        <f t="shared" si="600"/>
        <v>0</v>
      </c>
      <c r="Q410" s="62">
        <f t="shared" si="577"/>
        <v>0</v>
      </c>
      <c r="R410" s="69">
        <f t="shared" si="542"/>
        <v>0</v>
      </c>
      <c r="T410" s="75">
        <v>0</v>
      </c>
      <c r="U410" s="68">
        <f t="shared" si="601"/>
        <v>0</v>
      </c>
      <c r="V410" s="62">
        <f t="shared" si="574"/>
        <v>0</v>
      </c>
      <c r="W410" s="69">
        <f t="shared" si="543"/>
        <v>0</v>
      </c>
      <c r="AA410" s="68">
        <f t="shared" si="575"/>
        <v>0</v>
      </c>
      <c r="AB410" s="69">
        <f t="shared" si="538"/>
        <v>0</v>
      </c>
    </row>
    <row r="411" spans="1:34" ht="15" customHeight="1" outlineLevel="1" x14ac:dyDescent="0.25">
      <c r="A411" s="67"/>
      <c r="B411" s="66">
        <v>3210</v>
      </c>
      <c r="C411" s="67" t="s">
        <v>76</v>
      </c>
      <c r="D411" s="68"/>
      <c r="E411" s="68">
        <v>9039.61</v>
      </c>
      <c r="F411" s="68">
        <f t="shared" si="557"/>
        <v>11928.216551435253</v>
      </c>
      <c r="G411" s="69">
        <v>1804</v>
      </c>
      <c r="H411" s="67" t="s">
        <v>41</v>
      </c>
      <c r="I411" s="68">
        <f t="shared" si="534"/>
        <v>6.6120934320594529</v>
      </c>
      <c r="J411" s="69"/>
      <c r="K411" s="68">
        <f t="shared" si="599"/>
        <v>0</v>
      </c>
      <c r="L411" s="62">
        <f t="shared" si="576"/>
        <v>0</v>
      </c>
      <c r="M411" s="69">
        <f t="shared" si="541"/>
        <v>0</v>
      </c>
      <c r="N411" s="70">
        <f t="shared" ref="N411" si="607">100%-(L411/$F411)</f>
        <v>1</v>
      </c>
      <c r="O411" s="69">
        <v>1804</v>
      </c>
      <c r="P411" s="68">
        <f t="shared" si="600"/>
        <v>11928.216551435253</v>
      </c>
      <c r="Q411" s="62">
        <f t="shared" si="577"/>
        <v>0</v>
      </c>
      <c r="R411" s="69">
        <f t="shared" si="542"/>
        <v>0</v>
      </c>
      <c r="S411" s="70">
        <f t="shared" ref="S411" si="608">100%-(Q411/$F411)</f>
        <v>1</v>
      </c>
      <c r="T411" s="69"/>
      <c r="U411" s="68">
        <f t="shared" si="601"/>
        <v>0</v>
      </c>
      <c r="V411" s="62">
        <f t="shared" si="574"/>
        <v>11928.216551435253</v>
      </c>
      <c r="W411" s="69">
        <f t="shared" si="543"/>
        <v>1804</v>
      </c>
      <c r="X411" s="70">
        <f t="shared" ref="X411" si="609">100%-(V411/$F411)</f>
        <v>0</v>
      </c>
      <c r="Y411" s="69"/>
      <c r="Z411" s="68">
        <f>Y411*D411</f>
        <v>0</v>
      </c>
      <c r="AA411" s="68">
        <f t="shared" si="575"/>
        <v>11928.216551435253</v>
      </c>
      <c r="AB411" s="69">
        <f t="shared" si="538"/>
        <v>1804</v>
      </c>
      <c r="AC411" s="70">
        <f t="shared" ref="AC411" si="610">100%-(AA411/$F411)</f>
        <v>0</v>
      </c>
      <c r="AD411" s="69"/>
      <c r="AE411" s="68">
        <f>AD411*I411</f>
        <v>0</v>
      </c>
      <c r="AF411" s="68">
        <f>F411-AE411</f>
        <v>11928.216551435253</v>
      </c>
      <c r="AG411" s="69">
        <f>G411-AD411</f>
        <v>1804</v>
      </c>
      <c r="AH411" s="70">
        <f t="shared" ref="AH411" si="611">100%-(AF411/$F411)</f>
        <v>0</v>
      </c>
    </row>
    <row r="412" spans="1:34" ht="15" customHeight="1" outlineLevel="1" x14ac:dyDescent="0.25">
      <c r="A412" s="79"/>
      <c r="B412" s="80"/>
      <c r="C412" s="79" t="s">
        <v>231</v>
      </c>
      <c r="D412" s="81"/>
      <c r="E412" s="81">
        <v>26669.43</v>
      </c>
      <c r="F412" s="81">
        <f t="shared" si="557"/>
        <v>35191.643925273755</v>
      </c>
      <c r="G412" s="82"/>
      <c r="H412" s="79"/>
      <c r="I412" s="81"/>
      <c r="J412" s="82"/>
      <c r="K412" s="81">
        <f>+K413+K416+K417+K418</f>
        <v>2472.9237560864076</v>
      </c>
      <c r="L412" s="62">
        <f t="shared" si="576"/>
        <v>0</v>
      </c>
      <c r="M412" s="69">
        <f t="shared" si="541"/>
        <v>0</v>
      </c>
      <c r="N412" s="83"/>
      <c r="O412" s="82"/>
      <c r="P412" s="81">
        <f>+P413+P416+P417+P418</f>
        <v>10530.877719291708</v>
      </c>
      <c r="Q412" s="62">
        <f t="shared" si="577"/>
        <v>2472.9237560864058</v>
      </c>
      <c r="R412" s="69">
        <f t="shared" si="542"/>
        <v>0</v>
      </c>
      <c r="S412" s="83"/>
      <c r="T412" s="82"/>
      <c r="U412" s="81">
        <f>+U413+U416+U417+U418</f>
        <v>22187.842449895634</v>
      </c>
      <c r="V412" s="62">
        <f t="shared" si="574"/>
        <v>13003.801475378114</v>
      </c>
      <c r="W412" s="69">
        <f t="shared" si="543"/>
        <v>0</v>
      </c>
      <c r="X412" s="83"/>
      <c r="Y412" s="82"/>
      <c r="Z412" s="81">
        <f>SUM(Z413,Z416,Z417,Z418)</f>
        <v>0</v>
      </c>
      <c r="AA412" s="68">
        <f t="shared" si="575"/>
        <v>35191.643925273747</v>
      </c>
      <c r="AB412" s="69">
        <f t="shared" si="538"/>
        <v>0</v>
      </c>
      <c r="AC412" s="83"/>
      <c r="AD412" s="82"/>
      <c r="AE412" s="81">
        <f>SUM(AE413,AE416,AE417,AE418)</f>
        <v>0</v>
      </c>
      <c r="AF412" s="81">
        <f>SUM(AF413,AF416,AF417,AF418)</f>
        <v>35191.643925273747</v>
      </c>
      <c r="AG412" s="82"/>
      <c r="AH412" s="83"/>
    </row>
    <row r="413" spans="1:34" ht="15" customHeight="1" outlineLevel="1" x14ac:dyDescent="0.25">
      <c r="A413" s="67"/>
      <c r="B413" s="66">
        <v>3110</v>
      </c>
      <c r="C413" s="67" t="s">
        <v>74</v>
      </c>
      <c r="D413" s="68"/>
      <c r="E413" s="68">
        <v>9594.31</v>
      </c>
      <c r="F413" s="68">
        <f t="shared" si="557"/>
        <v>12660.170885867947</v>
      </c>
      <c r="G413" s="69">
        <v>20</v>
      </c>
      <c r="H413" s="67" t="s">
        <v>42</v>
      </c>
      <c r="I413" s="68">
        <f t="shared" si="534"/>
        <v>633.00854429339734</v>
      </c>
      <c r="J413" s="69"/>
      <c r="K413" s="68">
        <f t="shared" ref="K413:K418" si="612">+J413*$I413</f>
        <v>0</v>
      </c>
      <c r="L413" s="62">
        <f t="shared" si="576"/>
        <v>0</v>
      </c>
      <c r="M413" s="69">
        <f t="shared" si="541"/>
        <v>0</v>
      </c>
      <c r="N413" s="70">
        <f t="shared" ref="N413" si="613">100%-(L413/$F413)</f>
        <v>1</v>
      </c>
      <c r="O413" s="69"/>
      <c r="P413" s="68">
        <f t="shared" ref="P413:P418" si="614">+O413*$I413</f>
        <v>0</v>
      </c>
      <c r="Q413" s="62">
        <f t="shared" si="577"/>
        <v>0</v>
      </c>
      <c r="R413" s="69">
        <f t="shared" si="542"/>
        <v>0</v>
      </c>
      <c r="S413" s="70">
        <f t="shared" ref="S413" si="615">100%-(Q413/$F413)</f>
        <v>1</v>
      </c>
      <c r="T413" s="69">
        <v>20</v>
      </c>
      <c r="U413" s="68">
        <f t="shared" ref="U413:U418" si="616">+T413*$I413</f>
        <v>12660.170885867947</v>
      </c>
      <c r="V413" s="62">
        <f t="shared" si="574"/>
        <v>0</v>
      </c>
      <c r="W413" s="69">
        <f t="shared" si="543"/>
        <v>0</v>
      </c>
      <c r="X413" s="70">
        <f t="shared" ref="X413" si="617">100%-(V413/$F413)</f>
        <v>1</v>
      </c>
      <c r="Y413" s="69"/>
      <c r="Z413" s="68">
        <f>Y413*D413</f>
        <v>0</v>
      </c>
      <c r="AA413" s="68">
        <f t="shared" si="575"/>
        <v>12660.170885867947</v>
      </c>
      <c r="AB413" s="69">
        <f t="shared" si="538"/>
        <v>20</v>
      </c>
      <c r="AC413" s="70">
        <f t="shared" ref="AC413" si="618">100%-(AA413/$F413)</f>
        <v>0</v>
      </c>
      <c r="AD413" s="69"/>
      <c r="AE413" s="68">
        <f>AD413*I413</f>
        <v>0</v>
      </c>
      <c r="AF413" s="68">
        <f>F413-AE413</f>
        <v>12660.170885867947</v>
      </c>
      <c r="AG413" s="69">
        <f>G413-AD413</f>
        <v>20</v>
      </c>
      <c r="AH413" s="70">
        <f t="shared" ref="AH413" si="619">100%-(AF413/$F413)</f>
        <v>0</v>
      </c>
    </row>
    <row r="414" spans="1:34" ht="15" customHeight="1" outlineLevel="2" x14ac:dyDescent="0.25">
      <c r="C414" s="56" t="s">
        <v>220</v>
      </c>
      <c r="E414" s="73">
        <v>8249.9699999999993</v>
      </c>
      <c r="F414" s="74">
        <f t="shared" si="557"/>
        <v>10886.247161420048</v>
      </c>
      <c r="G414" s="75">
        <v>242</v>
      </c>
      <c r="H414" s="56" t="s">
        <v>40</v>
      </c>
      <c r="I414" s="73">
        <f t="shared" si="534"/>
        <v>44.984492402562182</v>
      </c>
      <c r="K414" s="68">
        <f t="shared" si="612"/>
        <v>0</v>
      </c>
      <c r="L414" s="62">
        <f t="shared" si="576"/>
        <v>0</v>
      </c>
      <c r="M414" s="69">
        <f t="shared" si="541"/>
        <v>0</v>
      </c>
      <c r="P414" s="68">
        <f t="shared" si="614"/>
        <v>0</v>
      </c>
      <c r="Q414" s="62">
        <f t="shared" si="577"/>
        <v>0</v>
      </c>
      <c r="R414" s="69">
        <f t="shared" si="542"/>
        <v>0</v>
      </c>
      <c r="T414" s="75">
        <v>0</v>
      </c>
      <c r="U414" s="68">
        <f t="shared" si="616"/>
        <v>0</v>
      </c>
      <c r="V414" s="62">
        <f t="shared" si="574"/>
        <v>0</v>
      </c>
      <c r="W414" s="69">
        <f t="shared" si="543"/>
        <v>0</v>
      </c>
      <c r="AA414" s="68">
        <f t="shared" si="575"/>
        <v>0</v>
      </c>
      <c r="AB414" s="69">
        <f t="shared" si="538"/>
        <v>0</v>
      </c>
    </row>
    <row r="415" spans="1:34" ht="15" customHeight="1" outlineLevel="2" x14ac:dyDescent="0.25">
      <c r="C415" s="56" t="s">
        <v>232</v>
      </c>
      <c r="E415" s="73">
        <v>1344.33</v>
      </c>
      <c r="F415" s="74">
        <f t="shared" si="557"/>
        <v>1773.91052894881</v>
      </c>
      <c r="G415" s="75">
        <v>6</v>
      </c>
      <c r="H415" s="56" t="s">
        <v>39</v>
      </c>
      <c r="I415" s="73">
        <f t="shared" si="534"/>
        <v>295.65175482480169</v>
      </c>
      <c r="K415" s="68">
        <f t="shared" si="612"/>
        <v>0</v>
      </c>
      <c r="L415" s="62">
        <f t="shared" si="576"/>
        <v>0</v>
      </c>
      <c r="M415" s="69">
        <f t="shared" si="541"/>
        <v>0</v>
      </c>
      <c r="P415" s="68">
        <f t="shared" si="614"/>
        <v>0</v>
      </c>
      <c r="Q415" s="62">
        <f t="shared" si="577"/>
        <v>0</v>
      </c>
      <c r="R415" s="69">
        <f t="shared" si="542"/>
        <v>0</v>
      </c>
      <c r="T415" s="75">
        <v>0</v>
      </c>
      <c r="U415" s="68">
        <f t="shared" si="616"/>
        <v>0</v>
      </c>
      <c r="V415" s="62">
        <f t="shared" si="574"/>
        <v>0</v>
      </c>
      <c r="W415" s="69">
        <f t="shared" si="543"/>
        <v>0</v>
      </c>
      <c r="AA415" s="68">
        <f t="shared" si="575"/>
        <v>0</v>
      </c>
      <c r="AB415" s="69">
        <f t="shared" si="538"/>
        <v>0</v>
      </c>
    </row>
    <row r="416" spans="1:34" ht="15" customHeight="1" outlineLevel="1" x14ac:dyDescent="0.25">
      <c r="A416" s="67"/>
      <c r="B416" s="66">
        <v>3120</v>
      </c>
      <c r="C416" s="67" t="s">
        <v>75</v>
      </c>
      <c r="D416" s="68"/>
      <c r="E416" s="68">
        <v>12353.49</v>
      </c>
      <c r="F416" s="68">
        <f t="shared" si="557"/>
        <v>16301.046603336856</v>
      </c>
      <c r="G416" s="69">
        <v>15</v>
      </c>
      <c r="H416" s="67" t="s">
        <v>42</v>
      </c>
      <c r="I416" s="68">
        <f t="shared" si="534"/>
        <v>1086.7364402224571</v>
      </c>
      <c r="J416" s="69"/>
      <c r="K416" s="68">
        <f t="shared" si="612"/>
        <v>0</v>
      </c>
      <c r="L416" s="62">
        <f t="shared" si="576"/>
        <v>0</v>
      </c>
      <c r="M416" s="69">
        <f t="shared" si="541"/>
        <v>0</v>
      </c>
      <c r="N416" s="70">
        <f t="shared" ref="N416:N418" si="620">100%-(L416/$F416)</f>
        <v>1</v>
      </c>
      <c r="O416" s="69">
        <v>7.5</v>
      </c>
      <c r="P416" s="68">
        <f t="shared" si="614"/>
        <v>8150.5233016684278</v>
      </c>
      <c r="Q416" s="62">
        <f t="shared" si="577"/>
        <v>0</v>
      </c>
      <c r="R416" s="69">
        <f t="shared" si="542"/>
        <v>0</v>
      </c>
      <c r="S416" s="70">
        <f t="shared" ref="S416:S418" si="621">100%-(Q416/$F416)</f>
        <v>1</v>
      </c>
      <c r="T416" s="69">
        <v>7.5</v>
      </c>
      <c r="U416" s="68">
        <f t="shared" si="616"/>
        <v>8150.5233016684278</v>
      </c>
      <c r="V416" s="62">
        <f t="shared" si="574"/>
        <v>8150.5233016684278</v>
      </c>
      <c r="W416" s="69">
        <f t="shared" si="543"/>
        <v>7.5</v>
      </c>
      <c r="X416" s="70">
        <f t="shared" ref="X416:X418" si="622">100%-(V416/$F416)</f>
        <v>0.5</v>
      </c>
      <c r="Y416" s="69"/>
      <c r="Z416" s="68">
        <f>Y416*D416</f>
        <v>0</v>
      </c>
      <c r="AA416" s="68">
        <f t="shared" si="575"/>
        <v>16301.046603336856</v>
      </c>
      <c r="AB416" s="69">
        <f t="shared" si="538"/>
        <v>15</v>
      </c>
      <c r="AC416" s="70">
        <f t="shared" ref="AC416:AC418" si="623">100%-(AA416/$F416)</f>
        <v>0</v>
      </c>
      <c r="AD416" s="69"/>
      <c r="AE416" s="68">
        <f>AD416*I416</f>
        <v>0</v>
      </c>
      <c r="AF416" s="68">
        <f>F416-AE416</f>
        <v>16301.046603336856</v>
      </c>
      <c r="AG416" s="69">
        <f>G416-AD416</f>
        <v>15</v>
      </c>
      <c r="AH416" s="70">
        <f t="shared" ref="AH416:AH418" si="624">100%-(AF416/$F416)</f>
        <v>0</v>
      </c>
    </row>
    <row r="417" spans="1:34" ht="15" customHeight="1" outlineLevel="1" x14ac:dyDescent="0.25">
      <c r="A417" s="67"/>
      <c r="B417" s="66">
        <v>3210</v>
      </c>
      <c r="C417" s="67" t="s">
        <v>76</v>
      </c>
      <c r="D417" s="68"/>
      <c r="E417" s="68">
        <v>3677.98</v>
      </c>
      <c r="F417" s="68">
        <f t="shared" si="557"/>
        <v>4853.2781737096875</v>
      </c>
      <c r="G417" s="69">
        <v>734</v>
      </c>
      <c r="H417" s="67" t="s">
        <v>41</v>
      </c>
      <c r="I417" s="68">
        <f t="shared" si="534"/>
        <v>6.6120956045091113</v>
      </c>
      <c r="J417" s="69">
        <v>374</v>
      </c>
      <c r="K417" s="68">
        <f t="shared" si="612"/>
        <v>2472.9237560864076</v>
      </c>
      <c r="L417" s="62">
        <f t="shared" si="576"/>
        <v>0</v>
      </c>
      <c r="M417" s="69">
        <f t="shared" si="541"/>
        <v>0</v>
      </c>
      <c r="N417" s="70">
        <f t="shared" si="620"/>
        <v>1</v>
      </c>
      <c r="O417" s="69">
        <v>360</v>
      </c>
      <c r="P417" s="68">
        <f t="shared" si="614"/>
        <v>2380.3544176232799</v>
      </c>
      <c r="Q417" s="62">
        <f t="shared" si="577"/>
        <v>2472.9237560864076</v>
      </c>
      <c r="R417" s="69">
        <f t="shared" si="542"/>
        <v>374</v>
      </c>
      <c r="S417" s="70">
        <f t="shared" si="621"/>
        <v>0.49046321525885561</v>
      </c>
      <c r="T417" s="69"/>
      <c r="U417" s="68">
        <f t="shared" si="616"/>
        <v>0</v>
      </c>
      <c r="V417" s="62">
        <f t="shared" si="574"/>
        <v>4853.2781737096875</v>
      </c>
      <c r="W417" s="69">
        <f t="shared" si="543"/>
        <v>734</v>
      </c>
      <c r="X417" s="70">
        <f t="shared" si="622"/>
        <v>0</v>
      </c>
      <c r="Y417" s="69"/>
      <c r="Z417" s="68">
        <f>Y417*D417</f>
        <v>0</v>
      </c>
      <c r="AA417" s="68">
        <f t="shared" si="575"/>
        <v>4853.2781737096875</v>
      </c>
      <c r="AB417" s="69">
        <f t="shared" si="538"/>
        <v>734</v>
      </c>
      <c r="AC417" s="70">
        <f t="shared" si="623"/>
        <v>0</v>
      </c>
      <c r="AD417" s="69"/>
      <c r="AE417" s="68">
        <f>AD417*I417</f>
        <v>0</v>
      </c>
      <c r="AF417" s="68">
        <f>F417-AE417</f>
        <v>4853.2781737096875</v>
      </c>
      <c r="AG417" s="69">
        <f>G417-AD417</f>
        <v>734</v>
      </c>
      <c r="AH417" s="70">
        <f t="shared" si="624"/>
        <v>0</v>
      </c>
    </row>
    <row r="418" spans="1:34" ht="15" customHeight="1" outlineLevel="1" x14ac:dyDescent="0.25">
      <c r="A418" s="67"/>
      <c r="B418" s="66">
        <v>3100</v>
      </c>
      <c r="C418" s="67" t="s">
        <v>79</v>
      </c>
      <c r="D418" s="68"/>
      <c r="E418" s="68">
        <v>1043.6500000000001</v>
      </c>
      <c r="F418" s="68">
        <f t="shared" si="557"/>
        <v>1377.1482623592613</v>
      </c>
      <c r="G418" s="69">
        <v>1</v>
      </c>
      <c r="H418" s="67" t="s">
        <v>34</v>
      </c>
      <c r="I418" s="68">
        <f t="shared" si="534"/>
        <v>1377.1482623592613</v>
      </c>
      <c r="J418" s="69"/>
      <c r="K418" s="68">
        <f t="shared" si="612"/>
        <v>0</v>
      </c>
      <c r="L418" s="62">
        <f t="shared" si="576"/>
        <v>0</v>
      </c>
      <c r="M418" s="69">
        <f t="shared" si="541"/>
        <v>0</v>
      </c>
      <c r="N418" s="70">
        <f t="shared" si="620"/>
        <v>1</v>
      </c>
      <c r="O418" s="69"/>
      <c r="P418" s="68">
        <f t="shared" si="614"/>
        <v>0</v>
      </c>
      <c r="Q418" s="62">
        <f t="shared" si="577"/>
        <v>0</v>
      </c>
      <c r="R418" s="69">
        <f t="shared" si="542"/>
        <v>0</v>
      </c>
      <c r="S418" s="70">
        <f t="shared" si="621"/>
        <v>1</v>
      </c>
      <c r="T418" s="69">
        <v>1</v>
      </c>
      <c r="U418" s="68">
        <f t="shared" si="616"/>
        <v>1377.1482623592613</v>
      </c>
      <c r="V418" s="62">
        <f t="shared" si="574"/>
        <v>0</v>
      </c>
      <c r="W418" s="69">
        <f t="shared" si="543"/>
        <v>0</v>
      </c>
      <c r="X418" s="70">
        <f t="shared" si="622"/>
        <v>1</v>
      </c>
      <c r="Y418" s="69"/>
      <c r="Z418" s="68">
        <f>Y418*D418</f>
        <v>0</v>
      </c>
      <c r="AA418" s="68">
        <f t="shared" si="575"/>
        <v>1377.1482623592613</v>
      </c>
      <c r="AB418" s="69">
        <f t="shared" si="538"/>
        <v>1</v>
      </c>
      <c r="AC418" s="70">
        <f t="shared" si="623"/>
        <v>0</v>
      </c>
      <c r="AD418" s="69"/>
      <c r="AE418" s="68">
        <f>AD418*I418</f>
        <v>0</v>
      </c>
      <c r="AF418" s="68">
        <f>F418-AE418</f>
        <v>1377.1482623592613</v>
      </c>
      <c r="AG418" s="69">
        <f>G418-AD418</f>
        <v>1</v>
      </c>
      <c r="AH418" s="70">
        <f t="shared" si="624"/>
        <v>0</v>
      </c>
    </row>
    <row r="419" spans="1:34" ht="15" customHeight="1" outlineLevel="1" x14ac:dyDescent="0.25">
      <c r="A419" s="79"/>
      <c r="B419" s="80"/>
      <c r="C419" s="79" t="s">
        <v>233</v>
      </c>
      <c r="D419" s="81"/>
      <c r="E419" s="81">
        <v>4209.8100000000004</v>
      </c>
      <c r="F419" s="81">
        <f t="shared" si="557"/>
        <v>5555.0544017272478</v>
      </c>
      <c r="G419" s="82"/>
      <c r="H419" s="79"/>
      <c r="I419" s="81"/>
      <c r="J419" s="82"/>
      <c r="K419" s="81">
        <f>+K420+K421+K422</f>
        <v>0</v>
      </c>
      <c r="L419" s="62">
        <f t="shared" si="576"/>
        <v>5555.0675972263352</v>
      </c>
      <c r="M419" s="69">
        <f t="shared" si="541"/>
        <v>0</v>
      </c>
      <c r="N419" s="83"/>
      <c r="O419" s="82"/>
      <c r="P419" s="81">
        <f>+P420+P421+P422</f>
        <v>0</v>
      </c>
      <c r="Q419" s="62">
        <f t="shared" si="577"/>
        <v>5555.0675972263352</v>
      </c>
      <c r="R419" s="69">
        <f t="shared" si="542"/>
        <v>0</v>
      </c>
      <c r="S419" s="83"/>
      <c r="T419" s="82"/>
      <c r="U419" s="81">
        <f>+U420+U421+U422</f>
        <v>0</v>
      </c>
      <c r="V419" s="62">
        <f t="shared" si="574"/>
        <v>5555.0675972263352</v>
      </c>
      <c r="W419" s="69">
        <f t="shared" si="543"/>
        <v>0</v>
      </c>
      <c r="X419" s="83"/>
      <c r="Y419" s="82"/>
      <c r="Z419" s="81">
        <f>SUM(Z420,Z421,Z422)</f>
        <v>0</v>
      </c>
      <c r="AA419" s="68">
        <f t="shared" si="575"/>
        <v>5555.0675972263352</v>
      </c>
      <c r="AB419" s="69">
        <f t="shared" si="538"/>
        <v>0</v>
      </c>
      <c r="AC419" s="83"/>
      <c r="AD419" s="82"/>
      <c r="AE419" s="81">
        <f>SUM(AE420,AE421,AE422)</f>
        <v>0</v>
      </c>
      <c r="AF419" s="81">
        <f>SUM(AF420,AF421,AF422)</f>
        <v>5555.0675972263352</v>
      </c>
      <c r="AG419" s="82"/>
      <c r="AH419" s="83"/>
    </row>
    <row r="420" spans="1:34" ht="15" customHeight="1" outlineLevel="1" x14ac:dyDescent="0.25">
      <c r="A420" s="67"/>
      <c r="B420" s="66">
        <v>3110</v>
      </c>
      <c r="C420" s="67" t="s">
        <v>74</v>
      </c>
      <c r="D420" s="68"/>
      <c r="E420" s="68">
        <v>1538.73</v>
      </c>
      <c r="F420" s="68">
        <f t="shared" si="557"/>
        <v>2030.4310312270072</v>
      </c>
      <c r="G420" s="69">
        <v>4</v>
      </c>
      <c r="H420" s="67" t="s">
        <v>42</v>
      </c>
      <c r="I420" s="68">
        <f t="shared" si="534"/>
        <v>507.60775780675181</v>
      </c>
      <c r="J420" s="69"/>
      <c r="K420" s="68">
        <f t="shared" ref="K420:K422" si="625">+J420*$I420</f>
        <v>0</v>
      </c>
      <c r="L420" s="62">
        <f t="shared" si="576"/>
        <v>2030.4310312270072</v>
      </c>
      <c r="M420" s="69">
        <f t="shared" si="541"/>
        <v>4</v>
      </c>
      <c r="N420" s="70">
        <f t="shared" ref="N420:N424" si="626">100%-(L420/$F420)</f>
        <v>0</v>
      </c>
      <c r="O420" s="69"/>
      <c r="P420" s="68">
        <f t="shared" ref="P420:P422" si="627">+O420*$I420</f>
        <v>0</v>
      </c>
      <c r="Q420" s="62">
        <f t="shared" si="577"/>
        <v>2030.4310312270072</v>
      </c>
      <c r="R420" s="69">
        <f t="shared" si="542"/>
        <v>4</v>
      </c>
      <c r="S420" s="70">
        <f t="shared" ref="S420:S424" si="628">100%-(Q420/$F420)</f>
        <v>0</v>
      </c>
      <c r="T420" s="69"/>
      <c r="U420" s="68">
        <f t="shared" ref="U420:U422" si="629">+T420*$I420</f>
        <v>0</v>
      </c>
      <c r="V420" s="62">
        <f t="shared" si="574"/>
        <v>2030.4310312270072</v>
      </c>
      <c r="W420" s="69">
        <f t="shared" si="543"/>
        <v>4</v>
      </c>
      <c r="X420" s="70">
        <f t="shared" ref="X420:X424" si="630">100%-(V420/$F420)</f>
        <v>0</v>
      </c>
      <c r="Y420" s="69"/>
      <c r="Z420" s="68">
        <f>Y420*D420</f>
        <v>0</v>
      </c>
      <c r="AA420" s="68">
        <f t="shared" si="575"/>
        <v>2030.4310312270072</v>
      </c>
      <c r="AB420" s="69">
        <f t="shared" si="538"/>
        <v>4</v>
      </c>
      <c r="AC420" s="70">
        <f t="shared" ref="AC420:AC424" si="631">100%-(AA420/$F420)</f>
        <v>0</v>
      </c>
      <c r="AD420" s="69"/>
      <c r="AE420" s="68">
        <f>AD420*I420</f>
        <v>0</v>
      </c>
      <c r="AF420" s="68">
        <f>F420-AE420</f>
        <v>2030.4310312270072</v>
      </c>
      <c r="AG420" s="69">
        <f>G420-AD420</f>
        <v>4</v>
      </c>
      <c r="AH420" s="70">
        <f t="shared" ref="AH420:AH423" si="632">100%-(AF420/$F420)</f>
        <v>0</v>
      </c>
    </row>
    <row r="421" spans="1:34" ht="15" customHeight="1" outlineLevel="1" x14ac:dyDescent="0.25">
      <c r="A421" s="67"/>
      <c r="B421" s="66">
        <v>3120</v>
      </c>
      <c r="C421" s="67" t="s">
        <v>75</v>
      </c>
      <c r="D421" s="68"/>
      <c r="E421" s="68">
        <v>1505.98</v>
      </c>
      <c r="F421" s="68">
        <f t="shared" si="557"/>
        <v>1987.2157717125476</v>
      </c>
      <c r="G421" s="69">
        <v>2</v>
      </c>
      <c r="H421" s="67" t="s">
        <v>42</v>
      </c>
      <c r="I421" s="68">
        <f t="shared" si="534"/>
        <v>993.60788585627381</v>
      </c>
      <c r="J421" s="69"/>
      <c r="K421" s="68">
        <f t="shared" si="625"/>
        <v>0</v>
      </c>
      <c r="L421" s="62">
        <f t="shared" si="576"/>
        <v>1987.2157717125476</v>
      </c>
      <c r="M421" s="69">
        <f t="shared" si="541"/>
        <v>2</v>
      </c>
      <c r="N421" s="70">
        <f t="shared" si="626"/>
        <v>0</v>
      </c>
      <c r="O421" s="69"/>
      <c r="P421" s="68">
        <f t="shared" si="627"/>
        <v>0</v>
      </c>
      <c r="Q421" s="62">
        <f t="shared" si="577"/>
        <v>1987.2157717125476</v>
      </c>
      <c r="R421" s="69">
        <f t="shared" si="542"/>
        <v>2</v>
      </c>
      <c r="S421" s="70">
        <f t="shared" si="628"/>
        <v>0</v>
      </c>
      <c r="T421" s="69"/>
      <c r="U421" s="68">
        <f t="shared" si="629"/>
        <v>0</v>
      </c>
      <c r="V421" s="62">
        <f t="shared" si="574"/>
        <v>1987.2157717125476</v>
      </c>
      <c r="W421" s="69">
        <f t="shared" si="543"/>
        <v>2</v>
      </c>
      <c r="X421" s="70">
        <f t="shared" si="630"/>
        <v>0</v>
      </c>
      <c r="Y421" s="69"/>
      <c r="Z421" s="68">
        <f>Y421*D421</f>
        <v>0</v>
      </c>
      <c r="AA421" s="68">
        <f t="shared" si="575"/>
        <v>1987.2157717125476</v>
      </c>
      <c r="AB421" s="69">
        <f t="shared" si="538"/>
        <v>2</v>
      </c>
      <c r="AC421" s="70">
        <f t="shared" si="631"/>
        <v>0</v>
      </c>
      <c r="AD421" s="69"/>
      <c r="AE421" s="68">
        <f>AD421*I421</f>
        <v>0</v>
      </c>
      <c r="AF421" s="68">
        <f>F421-AE421</f>
        <v>1987.2157717125476</v>
      </c>
      <c r="AG421" s="69">
        <f>G421-AD421</f>
        <v>2</v>
      </c>
      <c r="AH421" s="70">
        <f t="shared" si="632"/>
        <v>0</v>
      </c>
    </row>
    <row r="422" spans="1:34" ht="15" customHeight="1" outlineLevel="1" x14ac:dyDescent="0.25">
      <c r="A422" s="67"/>
      <c r="B422" s="66">
        <v>3210</v>
      </c>
      <c r="C422" s="67" t="s">
        <v>76</v>
      </c>
      <c r="D422" s="68"/>
      <c r="E422" s="68">
        <v>1165.1099999999999</v>
      </c>
      <c r="F422" s="68">
        <f t="shared" si="557"/>
        <v>1537.4207942867808</v>
      </c>
      <c r="G422" s="69">
        <v>82</v>
      </c>
      <c r="H422" s="67" t="s">
        <v>41</v>
      </c>
      <c r="I422" s="68">
        <f t="shared" si="534"/>
        <v>18.74903407666806</v>
      </c>
      <c r="J422" s="69"/>
      <c r="K422" s="68">
        <f t="shared" si="625"/>
        <v>0</v>
      </c>
      <c r="L422" s="62">
        <f t="shared" si="576"/>
        <v>1537.4207942867808</v>
      </c>
      <c r="M422" s="69">
        <f t="shared" si="541"/>
        <v>82</v>
      </c>
      <c r="N422" s="70">
        <f t="shared" si="626"/>
        <v>0</v>
      </c>
      <c r="O422" s="69"/>
      <c r="P422" s="68">
        <f t="shared" si="627"/>
        <v>0</v>
      </c>
      <c r="Q422" s="62">
        <f t="shared" si="577"/>
        <v>1537.4207942867808</v>
      </c>
      <c r="R422" s="69">
        <f t="shared" si="542"/>
        <v>82</v>
      </c>
      <c r="S422" s="70">
        <f t="shared" si="628"/>
        <v>0</v>
      </c>
      <c r="T422" s="69"/>
      <c r="U422" s="68">
        <f t="shared" si="629"/>
        <v>0</v>
      </c>
      <c r="V422" s="62">
        <f t="shared" si="574"/>
        <v>1537.4207942867808</v>
      </c>
      <c r="W422" s="69">
        <f t="shared" si="543"/>
        <v>82</v>
      </c>
      <c r="X422" s="70">
        <f t="shared" si="630"/>
        <v>0</v>
      </c>
      <c r="Y422" s="69"/>
      <c r="Z422" s="68">
        <f>Y422*D422</f>
        <v>0</v>
      </c>
      <c r="AA422" s="68">
        <f t="shared" si="575"/>
        <v>1537.4207942867808</v>
      </c>
      <c r="AB422" s="69">
        <f t="shared" si="538"/>
        <v>82</v>
      </c>
      <c r="AC422" s="70">
        <f t="shared" si="631"/>
        <v>0</v>
      </c>
      <c r="AD422" s="69"/>
      <c r="AE422" s="68">
        <f>AD422*I422</f>
        <v>0</v>
      </c>
      <c r="AF422" s="68">
        <f>F422-AE422</f>
        <v>1537.4207942867808</v>
      </c>
      <c r="AG422" s="69">
        <f>G422-AD422</f>
        <v>82</v>
      </c>
      <c r="AH422" s="70">
        <f t="shared" si="632"/>
        <v>0</v>
      </c>
    </row>
    <row r="423" spans="1:34" ht="15" customHeight="1" outlineLevel="1" x14ac:dyDescent="0.25">
      <c r="A423" s="79"/>
      <c r="B423" s="80"/>
      <c r="C423" s="79" t="s">
        <v>343</v>
      </c>
      <c r="D423" s="81"/>
      <c r="E423" s="81">
        <v>2573.81</v>
      </c>
      <c r="F423" s="81">
        <f t="shared" ref="F423" si="633">$D$376/$E$376*E423</f>
        <v>3396.2707508675226</v>
      </c>
      <c r="G423" s="82"/>
      <c r="H423" s="79"/>
      <c r="I423" s="81"/>
      <c r="J423" s="82"/>
      <c r="K423" s="81">
        <f>+K424</f>
        <v>339.62707508675226</v>
      </c>
      <c r="L423" s="62">
        <f t="shared" si="576"/>
        <v>1698.1353754337613</v>
      </c>
      <c r="M423" s="69">
        <f t="shared" si="541"/>
        <v>0</v>
      </c>
      <c r="N423" s="83">
        <f t="shared" si="626"/>
        <v>0.5</v>
      </c>
      <c r="O423" s="82"/>
      <c r="P423" s="81">
        <f>+P424</f>
        <v>679.25415017350451</v>
      </c>
      <c r="Q423" s="62">
        <f t="shared" si="577"/>
        <v>2037.7624505205135</v>
      </c>
      <c r="R423" s="69">
        <f t="shared" si="542"/>
        <v>0</v>
      </c>
      <c r="S423" s="83">
        <f t="shared" si="628"/>
        <v>0.4</v>
      </c>
      <c r="T423" s="82"/>
      <c r="U423" s="81">
        <f>+U424</f>
        <v>679.25415017350451</v>
      </c>
      <c r="V423" s="62">
        <f t="shared" si="574"/>
        <v>2717.0166006940181</v>
      </c>
      <c r="W423" s="69">
        <f t="shared" si="543"/>
        <v>0</v>
      </c>
      <c r="X423" s="83">
        <f t="shared" si="630"/>
        <v>0.19999999999999996</v>
      </c>
      <c r="Y423" s="82"/>
      <c r="Z423" s="81">
        <f>SUM(Z424)</f>
        <v>0</v>
      </c>
      <c r="AA423" s="68">
        <f t="shared" si="575"/>
        <v>3396.2707508675226</v>
      </c>
      <c r="AB423" s="69">
        <f t="shared" si="538"/>
        <v>0</v>
      </c>
      <c r="AC423" s="83">
        <f t="shared" si="631"/>
        <v>0</v>
      </c>
      <c r="AD423" s="82"/>
      <c r="AE423" s="81">
        <f>SUM(AE424)</f>
        <v>0</v>
      </c>
      <c r="AF423" s="81">
        <f>SUM(AF424)</f>
        <v>3396.2707508675226</v>
      </c>
      <c r="AG423" s="82"/>
      <c r="AH423" s="83">
        <f t="shared" si="632"/>
        <v>0</v>
      </c>
    </row>
    <row r="424" spans="1:34" ht="15" customHeight="1" outlineLevel="1" x14ac:dyDescent="0.25">
      <c r="A424" s="67"/>
      <c r="B424" s="66">
        <v>2100</v>
      </c>
      <c r="C424" s="67" t="s">
        <v>122</v>
      </c>
      <c r="D424" s="68"/>
      <c r="E424" s="68">
        <v>2573.81</v>
      </c>
      <c r="F424" s="68">
        <f>$D$376/$E$376*E424</f>
        <v>3396.2707508675226</v>
      </c>
      <c r="G424" s="69">
        <v>1</v>
      </c>
      <c r="H424" s="67" t="s">
        <v>34</v>
      </c>
      <c r="I424" s="68">
        <f t="shared" si="534"/>
        <v>3396.2707508675226</v>
      </c>
      <c r="J424" s="69">
        <v>0.1</v>
      </c>
      <c r="K424" s="68">
        <f>+J424*$I424</f>
        <v>339.62707508675226</v>
      </c>
      <c r="L424" s="62">
        <f t="shared" si="576"/>
        <v>1698.1353754337613</v>
      </c>
      <c r="M424" s="69">
        <f t="shared" si="541"/>
        <v>0.50000000000000011</v>
      </c>
      <c r="N424" s="70">
        <f t="shared" si="626"/>
        <v>0.5</v>
      </c>
      <c r="O424" s="69">
        <v>0.2</v>
      </c>
      <c r="P424" s="68">
        <f>+O424*$I424</f>
        <v>679.25415017350451</v>
      </c>
      <c r="Q424" s="62">
        <f t="shared" si="577"/>
        <v>2037.7624505205135</v>
      </c>
      <c r="R424" s="69">
        <f t="shared" si="542"/>
        <v>0.60000000000000009</v>
      </c>
      <c r="S424" s="70">
        <f t="shared" si="628"/>
        <v>0.4</v>
      </c>
      <c r="T424" s="69">
        <v>0.2</v>
      </c>
      <c r="U424" s="68">
        <f>+T424*$I424</f>
        <v>679.25415017350451</v>
      </c>
      <c r="V424" s="62">
        <f t="shared" si="574"/>
        <v>2717.0166006940181</v>
      </c>
      <c r="W424" s="69">
        <f t="shared" si="543"/>
        <v>0.8</v>
      </c>
      <c r="X424" s="70">
        <f t="shared" si="630"/>
        <v>0.19999999999999996</v>
      </c>
      <c r="Y424" s="69"/>
      <c r="Z424" s="68">
        <f>Y424*D424</f>
        <v>0</v>
      </c>
      <c r="AA424" s="68">
        <f t="shared" si="575"/>
        <v>3396.2707508675226</v>
      </c>
      <c r="AB424" s="69">
        <f t="shared" si="538"/>
        <v>1</v>
      </c>
      <c r="AC424" s="70">
        <f t="shared" si="631"/>
        <v>0</v>
      </c>
      <c r="AD424" s="69"/>
      <c r="AE424" s="68">
        <f>AD424*I424</f>
        <v>0</v>
      </c>
      <c r="AF424" s="68">
        <f>F424-AE424</f>
        <v>3396.2707508675226</v>
      </c>
      <c r="AG424" s="69">
        <f>G424-AD424</f>
        <v>1</v>
      </c>
      <c r="AH424" s="70">
        <f t="shared" ref="AH424" si="634">100%-(AF424/$F424)</f>
        <v>0</v>
      </c>
    </row>
    <row r="425" spans="1:34" ht="15" customHeight="1" x14ac:dyDescent="0.25">
      <c r="A425" s="60">
        <v>7</v>
      </c>
      <c r="B425" s="60"/>
      <c r="C425" s="61" t="s">
        <v>29</v>
      </c>
      <c r="D425" s="62">
        <f>_xlfn.XLOOKUP(A425,SOV!$A$9:$A$27,SOV!$C$9:$C$27)</f>
        <v>261500</v>
      </c>
      <c r="E425" s="62">
        <v>182080.3</v>
      </c>
      <c r="F425" s="62"/>
      <c r="G425" s="63"/>
      <c r="H425" s="64"/>
      <c r="I425" s="62"/>
      <c r="J425" s="63"/>
      <c r="K425" s="62">
        <f>SUM(K426,K430,K434,K436,K438,K440,K442,K446,K450,K454,K458,K460,K462)</f>
        <v>0</v>
      </c>
      <c r="L425" s="62">
        <f t="shared" si="576"/>
        <v>250866.72738313978</v>
      </c>
      <c r="M425" s="69">
        <f t="shared" si="541"/>
        <v>0</v>
      </c>
      <c r="N425" s="65"/>
      <c r="O425" s="63"/>
      <c r="P425" s="62">
        <f>SUM(P426,P430,P434,P436,P438,P440,P442,P446,P450,P454,P458,P460,P462)</f>
        <v>0</v>
      </c>
      <c r="Q425" s="62">
        <f t="shared" si="577"/>
        <v>250866.72738313978</v>
      </c>
      <c r="R425" s="69">
        <f t="shared" si="542"/>
        <v>0</v>
      </c>
      <c r="S425" s="65"/>
      <c r="T425" s="63"/>
      <c r="U425" s="62">
        <f>SUM(U426,U430,U434,U436,U438,U440,U442,U446,U450,U454,U458,U460,U462)</f>
        <v>1239.3091628042264</v>
      </c>
      <c r="V425" s="62">
        <f t="shared" si="574"/>
        <v>250866.72738313978</v>
      </c>
      <c r="W425" s="69">
        <f t="shared" si="543"/>
        <v>0</v>
      </c>
      <c r="X425" s="65"/>
      <c r="Y425" s="63"/>
      <c r="Z425" s="62">
        <f>SUM(Z426,Z430,Z434,Z436,Z438,Z440,Z442,Z446,Z450,Z454,Z458,Z460,Z462)</f>
        <v>9393.9634540560364</v>
      </c>
      <c r="AA425" s="68">
        <f t="shared" si="575"/>
        <v>252106.03654594399</v>
      </c>
      <c r="AB425" s="69">
        <f t="shared" si="538"/>
        <v>0</v>
      </c>
      <c r="AC425" s="65"/>
      <c r="AD425" s="63"/>
      <c r="AE425" s="62">
        <f>SUM(AE426,AE430,AE434,AE436,AE438,AE440,AE442,AE446,AE450,AE454,AE458,AE460,AE462)</f>
        <v>0</v>
      </c>
      <c r="AF425" s="62">
        <f>SUM(AF426,AF430,AF434,AF436,AF438,AF440,AF442,AF446,AF450,AF454,AF458,AF460,AF462)</f>
        <v>261500.00000000003</v>
      </c>
      <c r="AG425" s="63"/>
      <c r="AH425" s="65"/>
    </row>
    <row r="426" spans="1:34" ht="15" customHeight="1" outlineLevel="1" x14ac:dyDescent="0.25">
      <c r="A426" s="67"/>
      <c r="B426" s="66"/>
      <c r="C426" s="67" t="s">
        <v>234</v>
      </c>
      <c r="D426" s="68"/>
      <c r="E426" s="68">
        <v>26649.08</v>
      </c>
      <c r="F426" s="68">
        <f t="shared" ref="F426:F463" si="635">$D$425/$E$425*E426</f>
        <v>38272.863236714795</v>
      </c>
      <c r="G426" s="69">
        <v>4215</v>
      </c>
      <c r="H426" s="67" t="s">
        <v>40</v>
      </c>
      <c r="I426" s="68">
        <f t="shared" si="534"/>
        <v>9.0801573515337584</v>
      </c>
      <c r="J426" s="69"/>
      <c r="K426" s="68">
        <f t="shared" ref="K426:K462" si="636">+J426*$I426</f>
        <v>0</v>
      </c>
      <c r="L426" s="62">
        <f t="shared" si="576"/>
        <v>38272.863236714795</v>
      </c>
      <c r="M426" s="69">
        <f t="shared" si="541"/>
        <v>4215</v>
      </c>
      <c r="N426" s="70">
        <f t="shared" ref="N426" si="637">100%-(L426/$F426)</f>
        <v>0</v>
      </c>
      <c r="O426" s="69"/>
      <c r="P426" s="68">
        <f t="shared" ref="P426:P462" si="638">+O426*$I426</f>
        <v>0</v>
      </c>
      <c r="Q426" s="62">
        <f t="shared" si="577"/>
        <v>38272.863236714795</v>
      </c>
      <c r="R426" s="69">
        <f t="shared" si="542"/>
        <v>4215</v>
      </c>
      <c r="S426" s="70">
        <f t="shared" ref="S426" si="639">100%-(Q426/$F426)</f>
        <v>0</v>
      </c>
      <c r="T426" s="69"/>
      <c r="U426" s="68">
        <f t="shared" ref="U426:U462" si="640">+T426*$I426</f>
        <v>0</v>
      </c>
      <c r="V426" s="62">
        <f t="shared" si="574"/>
        <v>38272.863236714795</v>
      </c>
      <c r="W426" s="69">
        <f t="shared" si="543"/>
        <v>4215</v>
      </c>
      <c r="X426" s="70">
        <f t="shared" ref="X426" si="641">100%-(V426/$F426)</f>
        <v>0</v>
      </c>
      <c r="Y426" s="69"/>
      <c r="Z426" s="68">
        <f t="shared" ref="Z426:Z462" si="642">+Y426*I426</f>
        <v>0</v>
      </c>
      <c r="AA426" s="68">
        <f t="shared" si="575"/>
        <v>38272.863236714795</v>
      </c>
      <c r="AB426" s="69">
        <f t="shared" si="538"/>
        <v>4215</v>
      </c>
      <c r="AC426" s="70">
        <f t="shared" ref="AC426" si="643">100%-(AA426/$F426)</f>
        <v>0</v>
      </c>
      <c r="AD426" s="69"/>
      <c r="AE426" s="68">
        <f>AD426*I426</f>
        <v>0</v>
      </c>
      <c r="AF426" s="68">
        <f>F426-AE426</f>
        <v>38272.863236714795</v>
      </c>
      <c r="AG426" s="69">
        <f>G426-AD426</f>
        <v>4215</v>
      </c>
      <c r="AH426" s="70">
        <f t="shared" ref="AH426" si="644">100%-(AF426/$F426)</f>
        <v>0</v>
      </c>
    </row>
    <row r="427" spans="1:34" ht="15" customHeight="1" outlineLevel="2" x14ac:dyDescent="0.25">
      <c r="B427" s="71">
        <v>2155</v>
      </c>
      <c r="C427" s="56" t="s">
        <v>81</v>
      </c>
      <c r="E427" s="73">
        <v>19428.37</v>
      </c>
      <c r="F427" s="74">
        <f t="shared" si="635"/>
        <v>27902.62732980998</v>
      </c>
      <c r="G427" s="75">
        <v>4215</v>
      </c>
      <c r="H427" s="56" t="s">
        <v>40</v>
      </c>
      <c r="I427" s="73">
        <f t="shared" si="534"/>
        <v>6.6198404103938273</v>
      </c>
      <c r="K427" s="68">
        <f t="shared" si="636"/>
        <v>0</v>
      </c>
      <c r="L427" s="62">
        <f t="shared" si="576"/>
        <v>0</v>
      </c>
      <c r="M427" s="69">
        <f t="shared" si="541"/>
        <v>0</v>
      </c>
      <c r="P427" s="68">
        <f t="shared" si="638"/>
        <v>0</v>
      </c>
      <c r="Q427" s="62">
        <f t="shared" si="577"/>
        <v>0</v>
      </c>
      <c r="R427" s="69">
        <f t="shared" si="542"/>
        <v>0</v>
      </c>
      <c r="U427" s="68">
        <f t="shared" si="640"/>
        <v>0</v>
      </c>
      <c r="V427" s="62">
        <f t="shared" si="574"/>
        <v>0</v>
      </c>
      <c r="W427" s="69">
        <f t="shared" si="543"/>
        <v>0</v>
      </c>
      <c r="Y427" s="75">
        <f>$AD$426*B427/$G$426</f>
        <v>0</v>
      </c>
      <c r="Z427" s="68">
        <f t="shared" si="642"/>
        <v>0</v>
      </c>
      <c r="AA427" s="68">
        <f t="shared" si="575"/>
        <v>0</v>
      </c>
      <c r="AB427" s="69">
        <f t="shared" si="538"/>
        <v>0</v>
      </c>
      <c r="AD427" s="75">
        <f>$AD$426*G427/$G$426</f>
        <v>0</v>
      </c>
    </row>
    <row r="428" spans="1:34" ht="15" customHeight="1" outlineLevel="2" x14ac:dyDescent="0.25">
      <c r="B428" s="71">
        <v>2183</v>
      </c>
      <c r="C428" s="56" t="s">
        <v>80</v>
      </c>
      <c r="E428" s="73">
        <v>4093.82</v>
      </c>
      <c r="F428" s="74">
        <f t="shared" si="635"/>
        <v>5879.4604907834628</v>
      </c>
      <c r="G428" s="75">
        <v>368.81</v>
      </c>
      <c r="H428" s="56" t="s">
        <v>43</v>
      </c>
      <c r="I428" s="73">
        <f t="shared" ref="I428:I498" si="645">F428/G428</f>
        <v>15.941705731361576</v>
      </c>
      <c r="K428" s="68">
        <f t="shared" si="636"/>
        <v>0</v>
      </c>
      <c r="L428" s="62">
        <f t="shared" si="576"/>
        <v>0</v>
      </c>
      <c r="M428" s="69">
        <f t="shared" si="541"/>
        <v>0</v>
      </c>
      <c r="P428" s="68">
        <f t="shared" si="638"/>
        <v>0</v>
      </c>
      <c r="Q428" s="62">
        <f t="shared" si="577"/>
        <v>0</v>
      </c>
      <c r="R428" s="69">
        <f t="shared" si="542"/>
        <v>0</v>
      </c>
      <c r="U428" s="68">
        <f t="shared" si="640"/>
        <v>0</v>
      </c>
      <c r="V428" s="62">
        <f t="shared" si="574"/>
        <v>0</v>
      </c>
      <c r="W428" s="69">
        <f t="shared" si="543"/>
        <v>0</v>
      </c>
      <c r="Y428" s="75">
        <f>$AD$426*B428/$G$426</f>
        <v>0</v>
      </c>
      <c r="Z428" s="68">
        <f t="shared" si="642"/>
        <v>0</v>
      </c>
      <c r="AA428" s="68">
        <f t="shared" si="575"/>
        <v>0</v>
      </c>
      <c r="AB428" s="69">
        <f t="shared" si="538"/>
        <v>0</v>
      </c>
      <c r="AD428" s="75">
        <f>$AD$426*G428/$G$426</f>
        <v>0</v>
      </c>
    </row>
    <row r="429" spans="1:34" ht="15" customHeight="1" outlineLevel="2" x14ac:dyDescent="0.25">
      <c r="B429" s="71">
        <v>2149</v>
      </c>
      <c r="C429" s="56" t="s">
        <v>48</v>
      </c>
      <c r="E429" s="73">
        <v>3126.89</v>
      </c>
      <c r="F429" s="74">
        <f t="shared" si="635"/>
        <v>4490.7754161213488</v>
      </c>
      <c r="G429" s="75">
        <v>368.81</v>
      </c>
      <c r="H429" s="56" t="s">
        <v>43</v>
      </c>
      <c r="I429" s="73">
        <f t="shared" si="645"/>
        <v>12.17639276625186</v>
      </c>
      <c r="K429" s="68">
        <f t="shared" si="636"/>
        <v>0</v>
      </c>
      <c r="L429" s="62">
        <f t="shared" si="576"/>
        <v>0</v>
      </c>
      <c r="M429" s="69">
        <f t="shared" si="541"/>
        <v>0</v>
      </c>
      <c r="P429" s="68">
        <f t="shared" si="638"/>
        <v>0</v>
      </c>
      <c r="Q429" s="62">
        <f t="shared" si="577"/>
        <v>0</v>
      </c>
      <c r="R429" s="69">
        <f t="shared" si="542"/>
        <v>0</v>
      </c>
      <c r="U429" s="68">
        <f t="shared" si="640"/>
        <v>0</v>
      </c>
      <c r="V429" s="62">
        <f t="shared" si="574"/>
        <v>0</v>
      </c>
      <c r="W429" s="69">
        <f t="shared" si="543"/>
        <v>0</v>
      </c>
      <c r="Y429" s="75">
        <f>$AD$426*B429/$G$426</f>
        <v>0</v>
      </c>
      <c r="Z429" s="68">
        <f t="shared" si="642"/>
        <v>0</v>
      </c>
      <c r="AA429" s="68">
        <f t="shared" si="575"/>
        <v>0</v>
      </c>
      <c r="AB429" s="69">
        <f t="shared" ref="AB429:AB492" si="646">+AG429-Y429</f>
        <v>0</v>
      </c>
      <c r="AD429" s="75">
        <f>$AD$426*G429/$G$426</f>
        <v>0</v>
      </c>
    </row>
    <row r="430" spans="1:34" ht="15" customHeight="1" outlineLevel="1" x14ac:dyDescent="0.25">
      <c r="A430" s="67"/>
      <c r="B430" s="66"/>
      <c r="C430" s="67" t="s">
        <v>235</v>
      </c>
      <c r="D430" s="68"/>
      <c r="E430" s="68">
        <v>334</v>
      </c>
      <c r="F430" s="68">
        <f t="shared" si="635"/>
        <v>479.68396361385612</v>
      </c>
      <c r="G430" s="69">
        <v>35</v>
      </c>
      <c r="H430" s="67" t="s">
        <v>40</v>
      </c>
      <c r="I430" s="68">
        <f t="shared" si="645"/>
        <v>13.705256103253031</v>
      </c>
      <c r="J430" s="69"/>
      <c r="K430" s="68">
        <f t="shared" si="636"/>
        <v>0</v>
      </c>
      <c r="L430" s="62">
        <f t="shared" si="576"/>
        <v>479.68396361385612</v>
      </c>
      <c r="M430" s="69">
        <f t="shared" ref="M430:M493" si="647">+R430-J430</f>
        <v>35</v>
      </c>
      <c r="N430" s="70">
        <f t="shared" ref="N430" si="648">100%-(L430/$F430)</f>
        <v>0</v>
      </c>
      <c r="O430" s="69"/>
      <c r="P430" s="68">
        <f t="shared" si="638"/>
        <v>0</v>
      </c>
      <c r="Q430" s="62">
        <f t="shared" si="577"/>
        <v>479.68396361385612</v>
      </c>
      <c r="R430" s="69">
        <f t="shared" ref="R430:R493" si="649">+W430-O430</f>
        <v>35</v>
      </c>
      <c r="S430" s="70">
        <f t="shared" ref="S430" si="650">100%-(Q430/$F430)</f>
        <v>0</v>
      </c>
      <c r="T430" s="69"/>
      <c r="U430" s="68">
        <f t="shared" si="640"/>
        <v>0</v>
      </c>
      <c r="V430" s="62">
        <f t="shared" si="574"/>
        <v>479.68396361385612</v>
      </c>
      <c r="W430" s="69">
        <f t="shared" ref="W430:W493" si="651">+AB430-T430</f>
        <v>35</v>
      </c>
      <c r="X430" s="70">
        <f t="shared" ref="X430" si="652">100%-(V430/$F430)</f>
        <v>0</v>
      </c>
      <c r="Y430" s="69"/>
      <c r="Z430" s="68">
        <f t="shared" si="642"/>
        <v>0</v>
      </c>
      <c r="AA430" s="68">
        <f t="shared" si="575"/>
        <v>479.68396361385612</v>
      </c>
      <c r="AB430" s="69">
        <f t="shared" si="646"/>
        <v>35</v>
      </c>
      <c r="AC430" s="70">
        <f t="shared" ref="AC430" si="653">100%-(AA430/$F430)</f>
        <v>0</v>
      </c>
      <c r="AD430" s="69"/>
      <c r="AE430" s="68">
        <f>AD430*I430</f>
        <v>0</v>
      </c>
      <c r="AF430" s="68">
        <f>F430-AE430</f>
        <v>479.68396361385612</v>
      </c>
      <c r="AG430" s="69">
        <f>G430-AD430</f>
        <v>35</v>
      </c>
      <c r="AH430" s="70">
        <f t="shared" ref="AH430" si="654">100%-(AF430/$F430)</f>
        <v>0</v>
      </c>
    </row>
    <row r="431" spans="1:34" ht="15" customHeight="1" outlineLevel="2" x14ac:dyDescent="0.25">
      <c r="B431" s="71">
        <v>2155</v>
      </c>
      <c r="C431" s="56" t="s">
        <v>81</v>
      </c>
      <c r="E431" s="73">
        <v>302.02</v>
      </c>
      <c r="F431" s="74">
        <f t="shared" si="635"/>
        <v>433.75494218759525</v>
      </c>
      <c r="G431" s="75">
        <v>35</v>
      </c>
      <c r="H431" s="56" t="s">
        <v>40</v>
      </c>
      <c r="I431" s="73">
        <f t="shared" si="645"/>
        <v>12.392998348217008</v>
      </c>
      <c r="K431" s="68">
        <f t="shared" si="636"/>
        <v>0</v>
      </c>
      <c r="L431" s="62">
        <f t="shared" si="576"/>
        <v>0</v>
      </c>
      <c r="M431" s="69">
        <f t="shared" si="647"/>
        <v>0</v>
      </c>
      <c r="P431" s="68">
        <f t="shared" si="638"/>
        <v>0</v>
      </c>
      <c r="Q431" s="62">
        <f t="shared" si="577"/>
        <v>0</v>
      </c>
      <c r="R431" s="69">
        <f t="shared" si="649"/>
        <v>0</v>
      </c>
      <c r="U431" s="68">
        <f t="shared" si="640"/>
        <v>0</v>
      </c>
      <c r="V431" s="62">
        <f t="shared" si="574"/>
        <v>0</v>
      </c>
      <c r="W431" s="69">
        <f t="shared" si="651"/>
        <v>0</v>
      </c>
      <c r="Y431" s="75">
        <f>$AD$430*B431/$G$430</f>
        <v>0</v>
      </c>
      <c r="Z431" s="68">
        <f t="shared" si="642"/>
        <v>0</v>
      </c>
      <c r="AA431" s="68">
        <f t="shared" si="575"/>
        <v>0</v>
      </c>
      <c r="AB431" s="69">
        <f t="shared" si="646"/>
        <v>0</v>
      </c>
      <c r="AD431" s="75">
        <f>$AD$430*G431/$G$430</f>
        <v>0</v>
      </c>
    </row>
    <row r="432" spans="1:34" ht="15" customHeight="1" outlineLevel="2" x14ac:dyDescent="0.25">
      <c r="B432" s="71">
        <v>2183</v>
      </c>
      <c r="C432" s="56" t="s">
        <v>80</v>
      </c>
      <c r="E432" s="73">
        <v>18.13</v>
      </c>
      <c r="F432" s="74">
        <f t="shared" si="635"/>
        <v>26.037934911135363</v>
      </c>
      <c r="G432" s="75">
        <v>1.63</v>
      </c>
      <c r="H432" s="56" t="s">
        <v>43</v>
      </c>
      <c r="I432" s="73">
        <f t="shared" si="645"/>
        <v>15.974193197015561</v>
      </c>
      <c r="K432" s="68">
        <f t="shared" si="636"/>
        <v>0</v>
      </c>
      <c r="L432" s="62">
        <f t="shared" si="576"/>
        <v>0</v>
      </c>
      <c r="M432" s="69">
        <f t="shared" si="647"/>
        <v>0</v>
      </c>
      <c r="P432" s="68">
        <f t="shared" si="638"/>
        <v>0</v>
      </c>
      <c r="Q432" s="62">
        <f t="shared" si="577"/>
        <v>0</v>
      </c>
      <c r="R432" s="69">
        <f t="shared" si="649"/>
        <v>0</v>
      </c>
      <c r="U432" s="68">
        <f t="shared" si="640"/>
        <v>0</v>
      </c>
      <c r="V432" s="62">
        <f t="shared" si="574"/>
        <v>0</v>
      </c>
      <c r="W432" s="69">
        <f t="shared" si="651"/>
        <v>0</v>
      </c>
      <c r="Y432" s="75">
        <f>$AD$430*B432/$G$430</f>
        <v>0</v>
      </c>
      <c r="Z432" s="68">
        <f t="shared" si="642"/>
        <v>0</v>
      </c>
      <c r="AA432" s="68">
        <f t="shared" si="575"/>
        <v>0</v>
      </c>
      <c r="AB432" s="69">
        <f t="shared" si="646"/>
        <v>0</v>
      </c>
      <c r="AD432" s="75">
        <f>$AD$430*G432/$G$430</f>
        <v>0</v>
      </c>
    </row>
    <row r="433" spans="1:34" ht="15" customHeight="1" outlineLevel="2" x14ac:dyDescent="0.25">
      <c r="B433" s="71">
        <v>2149</v>
      </c>
      <c r="C433" s="56" t="s">
        <v>48</v>
      </c>
      <c r="E433" s="73">
        <v>13.85</v>
      </c>
      <c r="F433" s="74">
        <f t="shared" si="635"/>
        <v>19.891086515125473</v>
      </c>
      <c r="G433" s="75">
        <v>1.63</v>
      </c>
      <c r="H433" s="56" t="s">
        <v>43</v>
      </c>
      <c r="I433" s="73">
        <f t="shared" si="645"/>
        <v>12.203120561426671</v>
      </c>
      <c r="K433" s="68">
        <f t="shared" si="636"/>
        <v>0</v>
      </c>
      <c r="L433" s="62">
        <f t="shared" si="576"/>
        <v>0</v>
      </c>
      <c r="M433" s="69">
        <f t="shared" si="647"/>
        <v>0</v>
      </c>
      <c r="P433" s="68">
        <f t="shared" si="638"/>
        <v>0</v>
      </c>
      <c r="Q433" s="62">
        <f t="shared" si="577"/>
        <v>0</v>
      </c>
      <c r="R433" s="69">
        <f t="shared" si="649"/>
        <v>0</v>
      </c>
      <c r="U433" s="68">
        <f t="shared" si="640"/>
        <v>0</v>
      </c>
      <c r="V433" s="62">
        <f t="shared" si="574"/>
        <v>0</v>
      </c>
      <c r="W433" s="69">
        <f t="shared" si="651"/>
        <v>0</v>
      </c>
      <c r="Y433" s="75">
        <f>$AD$430*B433/$G$430</f>
        <v>0</v>
      </c>
      <c r="Z433" s="68">
        <f t="shared" si="642"/>
        <v>0</v>
      </c>
      <c r="AA433" s="68">
        <f t="shared" si="575"/>
        <v>0</v>
      </c>
      <c r="AB433" s="69">
        <f t="shared" si="646"/>
        <v>0</v>
      </c>
      <c r="AD433" s="75">
        <f>$AD$430*G433/$G$430</f>
        <v>0</v>
      </c>
    </row>
    <row r="434" spans="1:34" ht="15" customHeight="1" outlineLevel="1" x14ac:dyDescent="0.25">
      <c r="A434" s="67"/>
      <c r="B434" s="66"/>
      <c r="C434" s="67" t="s">
        <v>236</v>
      </c>
      <c r="D434" s="68"/>
      <c r="E434" s="68">
        <v>4996.3100000000004</v>
      </c>
      <c r="F434" s="68">
        <f t="shared" si="635"/>
        <v>7175.5981564178019</v>
      </c>
      <c r="G434" s="69">
        <v>1158</v>
      </c>
      <c r="H434" s="67" t="s">
        <v>40</v>
      </c>
      <c r="I434" s="68">
        <f t="shared" ref="I434" si="655">F434/G434</f>
        <v>6.1965441765265989</v>
      </c>
      <c r="J434" s="69"/>
      <c r="K434" s="68">
        <f t="shared" si="636"/>
        <v>0</v>
      </c>
      <c r="L434" s="62">
        <f t="shared" si="576"/>
        <v>7175.5981564178019</v>
      </c>
      <c r="M434" s="69">
        <f t="shared" si="647"/>
        <v>1158</v>
      </c>
      <c r="N434" s="70">
        <f t="shared" ref="N434" si="656">100%-(L434/$F434)</f>
        <v>0</v>
      </c>
      <c r="O434" s="69"/>
      <c r="P434" s="68">
        <f t="shared" si="638"/>
        <v>0</v>
      </c>
      <c r="Q434" s="62">
        <f t="shared" si="577"/>
        <v>7175.5981564178019</v>
      </c>
      <c r="R434" s="69">
        <f t="shared" si="649"/>
        <v>1158</v>
      </c>
      <c r="S434" s="70">
        <f t="shared" ref="S434" si="657">100%-(Q434/$F434)</f>
        <v>0</v>
      </c>
      <c r="T434" s="69"/>
      <c r="U434" s="68">
        <f t="shared" si="640"/>
        <v>0</v>
      </c>
      <c r="V434" s="62">
        <f t="shared" si="574"/>
        <v>7175.5981564178019</v>
      </c>
      <c r="W434" s="69">
        <f t="shared" si="651"/>
        <v>1158</v>
      </c>
      <c r="X434" s="70">
        <f t="shared" ref="X434" si="658">100%-(V434/$F434)</f>
        <v>0</v>
      </c>
      <c r="Y434" s="69"/>
      <c r="Z434" s="68">
        <f t="shared" si="642"/>
        <v>0</v>
      </c>
      <c r="AA434" s="68">
        <f t="shared" si="575"/>
        <v>7175.5981564178019</v>
      </c>
      <c r="AB434" s="69">
        <f t="shared" si="646"/>
        <v>1158</v>
      </c>
      <c r="AC434" s="70">
        <f t="shared" ref="AC434" si="659">100%-(AA434/$F434)</f>
        <v>0</v>
      </c>
      <c r="AD434" s="69"/>
      <c r="AE434" s="68">
        <f>AD434*I434</f>
        <v>0</v>
      </c>
      <c r="AF434" s="68">
        <f>F434-AE434</f>
        <v>7175.5981564178019</v>
      </c>
      <c r="AG434" s="69">
        <f>G434-AD434</f>
        <v>1158</v>
      </c>
      <c r="AH434" s="70">
        <f t="shared" ref="AH434" si="660">100%-(AF434/$F434)</f>
        <v>0</v>
      </c>
    </row>
    <row r="435" spans="1:34" ht="15" customHeight="1" outlineLevel="2" x14ac:dyDescent="0.25">
      <c r="B435" s="71">
        <v>2155</v>
      </c>
      <c r="C435" s="56" t="s">
        <v>81</v>
      </c>
      <c r="E435" s="73">
        <v>4996.3100000000004</v>
      </c>
      <c r="F435" s="74">
        <f t="shared" si="635"/>
        <v>7175.5981564178019</v>
      </c>
      <c r="G435" s="75">
        <v>1158</v>
      </c>
      <c r="H435" s="56" t="s">
        <v>40</v>
      </c>
      <c r="I435" s="73">
        <f t="shared" si="645"/>
        <v>6.1965441765265989</v>
      </c>
      <c r="K435" s="68">
        <f t="shared" si="636"/>
        <v>0</v>
      </c>
      <c r="L435" s="62">
        <f t="shared" si="576"/>
        <v>0</v>
      </c>
      <c r="M435" s="69">
        <f t="shared" si="647"/>
        <v>0</v>
      </c>
      <c r="P435" s="68">
        <f t="shared" si="638"/>
        <v>0</v>
      </c>
      <c r="Q435" s="62">
        <f t="shared" si="577"/>
        <v>0</v>
      </c>
      <c r="R435" s="69">
        <f t="shared" si="649"/>
        <v>0</v>
      </c>
      <c r="U435" s="68">
        <f t="shared" si="640"/>
        <v>0</v>
      </c>
      <c r="V435" s="62">
        <f t="shared" si="574"/>
        <v>0</v>
      </c>
      <c r="W435" s="69">
        <f t="shared" si="651"/>
        <v>0</v>
      </c>
      <c r="Y435" s="75">
        <f>$AD$434*B435/$G$434</f>
        <v>0</v>
      </c>
      <c r="Z435" s="68">
        <f t="shared" si="642"/>
        <v>0</v>
      </c>
      <c r="AA435" s="68">
        <f t="shared" si="575"/>
        <v>0</v>
      </c>
      <c r="AB435" s="69">
        <f t="shared" si="646"/>
        <v>0</v>
      </c>
      <c r="AD435" s="75">
        <f>$AD$434*G435/$G$434</f>
        <v>0</v>
      </c>
    </row>
    <row r="436" spans="1:34" ht="15" customHeight="1" outlineLevel="1" x14ac:dyDescent="0.25">
      <c r="A436" s="67"/>
      <c r="B436" s="66"/>
      <c r="C436" s="67" t="s">
        <v>237</v>
      </c>
      <c r="D436" s="68"/>
      <c r="E436" s="68">
        <v>6817.06</v>
      </c>
      <c r="F436" s="68">
        <f t="shared" si="635"/>
        <v>9790.5220389026181</v>
      </c>
      <c r="G436" s="69">
        <v>1580</v>
      </c>
      <c r="H436" s="67" t="s">
        <v>40</v>
      </c>
      <c r="I436" s="68">
        <f t="shared" ref="I436" si="661">F436/G436</f>
        <v>6.1965329360143153</v>
      </c>
      <c r="J436" s="69"/>
      <c r="K436" s="68">
        <f t="shared" si="636"/>
        <v>0</v>
      </c>
      <c r="L436" s="62">
        <f t="shared" si="576"/>
        <v>9790.5220389026181</v>
      </c>
      <c r="M436" s="69">
        <f t="shared" si="647"/>
        <v>1580</v>
      </c>
      <c r="N436" s="70">
        <f t="shared" ref="N436" si="662">100%-(L436/$F436)</f>
        <v>0</v>
      </c>
      <c r="O436" s="69"/>
      <c r="P436" s="68">
        <f t="shared" si="638"/>
        <v>0</v>
      </c>
      <c r="Q436" s="62">
        <f t="shared" si="577"/>
        <v>9790.5220389026181</v>
      </c>
      <c r="R436" s="69">
        <f t="shared" si="649"/>
        <v>1580</v>
      </c>
      <c r="S436" s="70">
        <f t="shared" ref="S436" si="663">100%-(Q436/$F436)</f>
        <v>0</v>
      </c>
      <c r="T436" s="69"/>
      <c r="U436" s="68">
        <f t="shared" si="640"/>
        <v>0</v>
      </c>
      <c r="V436" s="62">
        <f t="shared" si="574"/>
        <v>9790.5220389026181</v>
      </c>
      <c r="W436" s="69">
        <f t="shared" si="651"/>
        <v>1580</v>
      </c>
      <c r="X436" s="70">
        <f t="shared" ref="X436" si="664">100%-(V436/$F436)</f>
        <v>0</v>
      </c>
      <c r="Y436" s="69"/>
      <c r="Z436" s="68">
        <f t="shared" si="642"/>
        <v>0</v>
      </c>
      <c r="AA436" s="68">
        <f t="shared" si="575"/>
        <v>9790.5220389026181</v>
      </c>
      <c r="AB436" s="69">
        <f t="shared" si="646"/>
        <v>1580</v>
      </c>
      <c r="AC436" s="70">
        <f t="shared" ref="AC436" si="665">100%-(AA436/$F436)</f>
        <v>0</v>
      </c>
      <c r="AD436" s="69"/>
      <c r="AE436" s="68">
        <f>AD436*I436</f>
        <v>0</v>
      </c>
      <c r="AF436" s="68">
        <f>F436-AE436</f>
        <v>9790.5220389026181</v>
      </c>
      <c r="AG436" s="69">
        <f>G436-AD436</f>
        <v>1580</v>
      </c>
      <c r="AH436" s="70">
        <f t="shared" ref="AH436" si="666">100%-(AF436/$F436)</f>
        <v>0</v>
      </c>
    </row>
    <row r="437" spans="1:34" ht="15" customHeight="1" outlineLevel="2" x14ac:dyDescent="0.25">
      <c r="B437" s="71">
        <v>2155</v>
      </c>
      <c r="C437" s="56" t="s">
        <v>81</v>
      </c>
      <c r="E437" s="73">
        <v>6817.07</v>
      </c>
      <c r="F437" s="74">
        <f t="shared" si="635"/>
        <v>9790.5364006979344</v>
      </c>
      <c r="G437" s="75">
        <v>1580</v>
      </c>
      <c r="H437" s="56" t="s">
        <v>40</v>
      </c>
      <c r="I437" s="73">
        <f t="shared" si="645"/>
        <v>6.1965420257581867</v>
      </c>
      <c r="K437" s="68">
        <f t="shared" si="636"/>
        <v>0</v>
      </c>
      <c r="L437" s="62">
        <f t="shared" si="576"/>
        <v>0</v>
      </c>
      <c r="M437" s="69">
        <f t="shared" si="647"/>
        <v>0</v>
      </c>
      <c r="P437" s="68">
        <f t="shared" si="638"/>
        <v>0</v>
      </c>
      <c r="Q437" s="62">
        <f t="shared" si="577"/>
        <v>0</v>
      </c>
      <c r="R437" s="69">
        <f t="shared" si="649"/>
        <v>0</v>
      </c>
      <c r="U437" s="68">
        <f t="shared" si="640"/>
        <v>0</v>
      </c>
      <c r="V437" s="62">
        <f t="shared" si="574"/>
        <v>0</v>
      </c>
      <c r="W437" s="69">
        <f t="shared" si="651"/>
        <v>0</v>
      </c>
      <c r="Y437" s="75">
        <f>$AD$436*B437/$G$436</f>
        <v>0</v>
      </c>
      <c r="Z437" s="68">
        <f t="shared" si="642"/>
        <v>0</v>
      </c>
      <c r="AA437" s="68">
        <f t="shared" si="575"/>
        <v>0</v>
      </c>
      <c r="AB437" s="69">
        <f t="shared" si="646"/>
        <v>0</v>
      </c>
      <c r="AD437" s="75">
        <f>$AD$436*G437/$G$436</f>
        <v>0</v>
      </c>
    </row>
    <row r="438" spans="1:34" ht="15" customHeight="1" outlineLevel="1" x14ac:dyDescent="0.25">
      <c r="A438" s="67"/>
      <c r="B438" s="66"/>
      <c r="C438" s="67" t="s">
        <v>238</v>
      </c>
      <c r="D438" s="68"/>
      <c r="E438" s="68">
        <v>3352.45</v>
      </c>
      <c r="F438" s="68">
        <f t="shared" si="635"/>
        <v>4814.720071309197</v>
      </c>
      <c r="G438" s="69">
        <v>777</v>
      </c>
      <c r="H438" s="67" t="s">
        <v>40</v>
      </c>
      <c r="I438" s="68">
        <f t="shared" ref="I438" si="667">F438/G438</f>
        <v>6.1965509283258653</v>
      </c>
      <c r="J438" s="69"/>
      <c r="K438" s="68">
        <f t="shared" si="636"/>
        <v>0</v>
      </c>
      <c r="L438" s="62">
        <f t="shared" si="576"/>
        <v>4814.720071309197</v>
      </c>
      <c r="M438" s="69">
        <f t="shared" si="647"/>
        <v>777</v>
      </c>
      <c r="N438" s="70">
        <f t="shared" ref="N438" si="668">100%-(L438/$F438)</f>
        <v>0</v>
      </c>
      <c r="O438" s="69"/>
      <c r="P438" s="68">
        <f t="shared" si="638"/>
        <v>0</v>
      </c>
      <c r="Q438" s="62">
        <f t="shared" si="577"/>
        <v>4814.720071309197</v>
      </c>
      <c r="R438" s="69">
        <f t="shared" si="649"/>
        <v>777</v>
      </c>
      <c r="S438" s="70">
        <f t="shared" ref="S438" si="669">100%-(Q438/$F438)</f>
        <v>0</v>
      </c>
      <c r="T438" s="69"/>
      <c r="U438" s="68">
        <f t="shared" si="640"/>
        <v>0</v>
      </c>
      <c r="V438" s="62">
        <f t="shared" si="574"/>
        <v>4814.720071309197</v>
      </c>
      <c r="W438" s="69">
        <f t="shared" si="651"/>
        <v>777</v>
      </c>
      <c r="X438" s="70">
        <f t="shared" ref="X438" si="670">100%-(V438/$F438)</f>
        <v>0</v>
      </c>
      <c r="Y438" s="69"/>
      <c r="Z438" s="68">
        <f t="shared" si="642"/>
        <v>0</v>
      </c>
      <c r="AA438" s="68">
        <f t="shared" si="575"/>
        <v>4814.720071309197</v>
      </c>
      <c r="AB438" s="69">
        <f t="shared" si="646"/>
        <v>777</v>
      </c>
      <c r="AC438" s="70">
        <f t="shared" ref="AC438" si="671">100%-(AA438/$F438)</f>
        <v>0</v>
      </c>
      <c r="AD438" s="69"/>
      <c r="AE438" s="68">
        <f>AD438*I438</f>
        <v>0</v>
      </c>
      <c r="AF438" s="68">
        <f>F438-AE438</f>
        <v>4814.720071309197</v>
      </c>
      <c r="AG438" s="69">
        <f>G438-AD438</f>
        <v>777</v>
      </c>
      <c r="AH438" s="70">
        <f t="shared" ref="AH438" si="672">100%-(AF438/$F438)</f>
        <v>0</v>
      </c>
    </row>
    <row r="439" spans="1:34" ht="15" customHeight="1" outlineLevel="2" x14ac:dyDescent="0.25">
      <c r="B439" s="71">
        <v>2155</v>
      </c>
      <c r="C439" s="56" t="s">
        <v>81</v>
      </c>
      <c r="E439" s="73">
        <v>3352.45</v>
      </c>
      <c r="F439" s="74">
        <f t="shared" si="635"/>
        <v>4814.720071309197</v>
      </c>
      <c r="G439" s="75">
        <v>777</v>
      </c>
      <c r="H439" s="56" t="s">
        <v>40</v>
      </c>
      <c r="I439" s="73">
        <f t="shared" si="645"/>
        <v>6.1965509283258653</v>
      </c>
      <c r="K439" s="68">
        <f t="shared" si="636"/>
        <v>0</v>
      </c>
      <c r="L439" s="62">
        <f t="shared" si="576"/>
        <v>0</v>
      </c>
      <c r="M439" s="69">
        <f t="shared" si="647"/>
        <v>0</v>
      </c>
      <c r="P439" s="68">
        <f t="shared" si="638"/>
        <v>0</v>
      </c>
      <c r="Q439" s="62">
        <f t="shared" si="577"/>
        <v>0</v>
      </c>
      <c r="R439" s="69">
        <f t="shared" si="649"/>
        <v>0</v>
      </c>
      <c r="U439" s="68">
        <f t="shared" si="640"/>
        <v>0</v>
      </c>
      <c r="V439" s="62">
        <f t="shared" si="574"/>
        <v>0</v>
      </c>
      <c r="W439" s="69">
        <f t="shared" si="651"/>
        <v>0</v>
      </c>
      <c r="Y439" s="75">
        <f>$AD$438*B439/$G$438</f>
        <v>0</v>
      </c>
      <c r="Z439" s="68">
        <f t="shared" si="642"/>
        <v>0</v>
      </c>
      <c r="AA439" s="68">
        <f t="shared" si="575"/>
        <v>0</v>
      </c>
      <c r="AB439" s="69">
        <f t="shared" si="646"/>
        <v>0</v>
      </c>
      <c r="AD439" s="75">
        <f>$AD$438*G439/$G$438</f>
        <v>0</v>
      </c>
    </row>
    <row r="440" spans="1:34" ht="15" customHeight="1" outlineLevel="1" x14ac:dyDescent="0.25">
      <c r="A440" s="67"/>
      <c r="B440" s="66"/>
      <c r="C440" s="67" t="s">
        <v>239</v>
      </c>
      <c r="D440" s="68"/>
      <c r="E440" s="68">
        <v>7516.04</v>
      </c>
      <c r="F440" s="68">
        <f t="shared" si="635"/>
        <v>10794.382808024811</v>
      </c>
      <c r="G440" s="69">
        <v>1742</v>
      </c>
      <c r="H440" s="67" t="s">
        <v>40</v>
      </c>
      <c r="I440" s="68">
        <f t="shared" ref="I440" si="673">F440/G440</f>
        <v>6.1965458140211318</v>
      </c>
      <c r="J440" s="69"/>
      <c r="K440" s="68">
        <f t="shared" si="636"/>
        <v>0</v>
      </c>
      <c r="L440" s="62">
        <f t="shared" si="576"/>
        <v>161.1101911645485</v>
      </c>
      <c r="M440" s="69">
        <f t="shared" si="647"/>
        <v>26</v>
      </c>
      <c r="N440" s="70">
        <f t="shared" ref="N440" si="674">100%-(L440/$F440)</f>
        <v>0.98507462686567171</v>
      </c>
      <c r="O440" s="69"/>
      <c r="P440" s="68">
        <f t="shared" si="638"/>
        <v>0</v>
      </c>
      <c r="Q440" s="62">
        <f t="shared" si="577"/>
        <v>161.1101911645485</v>
      </c>
      <c r="R440" s="69">
        <f t="shared" si="649"/>
        <v>26</v>
      </c>
      <c r="S440" s="70">
        <f t="shared" ref="S440" si="675">100%-(Q440/$F440)</f>
        <v>0.98507462686567171</v>
      </c>
      <c r="T440" s="69">
        <v>200</v>
      </c>
      <c r="U440" s="68">
        <f t="shared" si="640"/>
        <v>1239.3091628042264</v>
      </c>
      <c r="V440" s="62">
        <f t="shared" si="574"/>
        <v>161.1101911645485</v>
      </c>
      <c r="W440" s="69">
        <f t="shared" si="651"/>
        <v>26</v>
      </c>
      <c r="X440" s="70">
        <f t="shared" ref="X440" si="676">100%-(V440/$F440)</f>
        <v>0.98507462686567171</v>
      </c>
      <c r="Y440" s="69">
        <v>1516</v>
      </c>
      <c r="Z440" s="68">
        <f t="shared" si="642"/>
        <v>9393.9634540560364</v>
      </c>
      <c r="AA440" s="68">
        <f t="shared" si="575"/>
        <v>1400.4193539687749</v>
      </c>
      <c r="AB440" s="69">
        <f t="shared" si="646"/>
        <v>226</v>
      </c>
      <c r="AC440" s="70">
        <f t="shared" ref="AC440" si="677">100%-(AA440/$F440)</f>
        <v>0.87026406429391512</v>
      </c>
      <c r="AD440" s="69"/>
      <c r="AE440" s="68">
        <f>AD440*I440</f>
        <v>0</v>
      </c>
      <c r="AF440" s="68">
        <f>F440-AE440</f>
        <v>10794.382808024811</v>
      </c>
      <c r="AG440" s="69">
        <f>G440-AD440</f>
        <v>1742</v>
      </c>
      <c r="AH440" s="70">
        <f t="shared" ref="AH440" si="678">100%-(AF440/$F440)</f>
        <v>0</v>
      </c>
    </row>
    <row r="441" spans="1:34" ht="15" customHeight="1" outlineLevel="2" x14ac:dyDescent="0.25">
      <c r="B441" s="71">
        <v>2155</v>
      </c>
      <c r="C441" s="56" t="s">
        <v>81</v>
      </c>
      <c r="E441" s="73">
        <v>7516.04</v>
      </c>
      <c r="F441" s="74">
        <f t="shared" si="635"/>
        <v>10794.382808024811</v>
      </c>
      <c r="G441" s="75">
        <v>1742</v>
      </c>
      <c r="H441" s="56" t="s">
        <v>40</v>
      </c>
      <c r="I441" s="73">
        <f t="shared" si="645"/>
        <v>6.1965458140211318</v>
      </c>
      <c r="K441" s="68">
        <f t="shared" si="636"/>
        <v>0</v>
      </c>
      <c r="L441" s="62">
        <f t="shared" si="576"/>
        <v>0</v>
      </c>
      <c r="M441" s="69">
        <f t="shared" si="647"/>
        <v>0</v>
      </c>
      <c r="P441" s="68">
        <f t="shared" si="638"/>
        <v>0</v>
      </c>
      <c r="Q441" s="62">
        <f t="shared" si="577"/>
        <v>0</v>
      </c>
      <c r="R441" s="69">
        <f t="shared" si="649"/>
        <v>0</v>
      </c>
      <c r="U441" s="68">
        <f t="shared" si="640"/>
        <v>0</v>
      </c>
      <c r="V441" s="62">
        <f t="shared" si="574"/>
        <v>0</v>
      </c>
      <c r="W441" s="69">
        <f t="shared" si="651"/>
        <v>0</v>
      </c>
      <c r="Y441" s="75">
        <f>$AD$440*B441/$G$440</f>
        <v>0</v>
      </c>
      <c r="Z441" s="68">
        <f t="shared" si="642"/>
        <v>0</v>
      </c>
      <c r="AA441" s="68">
        <f t="shared" si="575"/>
        <v>0</v>
      </c>
      <c r="AB441" s="69">
        <f t="shared" si="646"/>
        <v>0</v>
      </c>
      <c r="AD441" s="75">
        <f>$AD$440*G441/$G$440</f>
        <v>0</v>
      </c>
    </row>
    <row r="442" spans="1:34" ht="15" customHeight="1" outlineLevel="1" x14ac:dyDescent="0.25">
      <c r="A442" s="67"/>
      <c r="B442" s="66"/>
      <c r="C442" s="67" t="s">
        <v>240</v>
      </c>
      <c r="D442" s="68"/>
      <c r="E442" s="68">
        <v>85966.2</v>
      </c>
      <c r="F442" s="68">
        <f t="shared" si="635"/>
        <v>123462.89686473497</v>
      </c>
      <c r="G442" s="69">
        <v>53700</v>
      </c>
      <c r="H442" s="67" t="s">
        <v>41</v>
      </c>
      <c r="I442" s="68">
        <f t="shared" si="645"/>
        <v>2.2991228466431091</v>
      </c>
      <c r="J442" s="69"/>
      <c r="K442" s="68">
        <f t="shared" si="636"/>
        <v>0</v>
      </c>
      <c r="L442" s="62">
        <f t="shared" si="576"/>
        <v>123462.89686473497</v>
      </c>
      <c r="M442" s="69">
        <f t="shared" si="647"/>
        <v>53700</v>
      </c>
      <c r="N442" s="70">
        <f t="shared" ref="N442" si="679">100%-(L442/$F442)</f>
        <v>0</v>
      </c>
      <c r="O442" s="69"/>
      <c r="P442" s="68">
        <f t="shared" si="638"/>
        <v>0</v>
      </c>
      <c r="Q442" s="62">
        <f t="shared" si="577"/>
        <v>123462.89686473497</v>
      </c>
      <c r="R442" s="69">
        <f t="shared" si="649"/>
        <v>53700</v>
      </c>
      <c r="S442" s="70">
        <f t="shared" ref="S442" si="680">100%-(Q442/$F442)</f>
        <v>0</v>
      </c>
      <c r="T442" s="69"/>
      <c r="U442" s="68">
        <f t="shared" si="640"/>
        <v>0</v>
      </c>
      <c r="V442" s="62">
        <f t="shared" si="574"/>
        <v>123462.89686473497</v>
      </c>
      <c r="W442" s="69">
        <f t="shared" si="651"/>
        <v>53700</v>
      </c>
      <c r="X442" s="70">
        <f t="shared" ref="X442" si="681">100%-(V442/$F442)</f>
        <v>0</v>
      </c>
      <c r="Y442" s="69"/>
      <c r="Z442" s="68">
        <f t="shared" si="642"/>
        <v>0</v>
      </c>
      <c r="AA442" s="68">
        <f t="shared" si="575"/>
        <v>123462.89686473497</v>
      </c>
      <c r="AB442" s="69">
        <f t="shared" si="646"/>
        <v>53700</v>
      </c>
      <c r="AC442" s="70">
        <f t="shared" ref="AC442" si="682">100%-(AA442/$F442)</f>
        <v>0</v>
      </c>
      <c r="AD442" s="69"/>
      <c r="AE442" s="68">
        <f>AD442*I442</f>
        <v>0</v>
      </c>
      <c r="AF442" s="68">
        <f>F442-AE442</f>
        <v>123462.89686473497</v>
      </c>
      <c r="AG442" s="69">
        <f>G442-AD442</f>
        <v>53700</v>
      </c>
      <c r="AH442" s="70">
        <f t="shared" ref="AH442" si="683">100%-(AF442/$F442)</f>
        <v>0</v>
      </c>
    </row>
    <row r="443" spans="1:34" ht="15" customHeight="1" outlineLevel="2" x14ac:dyDescent="0.25">
      <c r="B443" s="71">
        <v>2156</v>
      </c>
      <c r="C443" s="56" t="s">
        <v>82</v>
      </c>
      <c r="E443" s="73">
        <v>61785.09</v>
      </c>
      <c r="F443" s="74">
        <f t="shared" si="635"/>
        <v>88734.481627062356</v>
      </c>
      <c r="G443" s="75">
        <v>53700</v>
      </c>
      <c r="H443" s="56" t="s">
        <v>41</v>
      </c>
      <c r="I443" s="73">
        <f t="shared" si="645"/>
        <v>1.6524112034834704</v>
      </c>
      <c r="K443" s="68">
        <f t="shared" si="636"/>
        <v>0</v>
      </c>
      <c r="L443" s="62">
        <f t="shared" si="576"/>
        <v>0</v>
      </c>
      <c r="M443" s="69">
        <f t="shared" si="647"/>
        <v>0</v>
      </c>
      <c r="P443" s="68">
        <f t="shared" si="638"/>
        <v>0</v>
      </c>
      <c r="Q443" s="62">
        <f t="shared" si="577"/>
        <v>0</v>
      </c>
      <c r="R443" s="69">
        <f t="shared" si="649"/>
        <v>0</v>
      </c>
      <c r="U443" s="68">
        <f t="shared" si="640"/>
        <v>0</v>
      </c>
      <c r="V443" s="62">
        <f t="shared" si="574"/>
        <v>0</v>
      </c>
      <c r="W443" s="69">
        <f t="shared" si="651"/>
        <v>0</v>
      </c>
      <c r="Y443" s="75">
        <f>$AD$442*B443/$G$442</f>
        <v>0</v>
      </c>
      <c r="Z443" s="68">
        <f t="shared" si="642"/>
        <v>0</v>
      </c>
      <c r="AA443" s="68">
        <f t="shared" si="575"/>
        <v>0</v>
      </c>
      <c r="AB443" s="69">
        <f t="shared" si="646"/>
        <v>0</v>
      </c>
      <c r="AD443" s="75">
        <f>$AD$442*G443/$G$442</f>
        <v>0</v>
      </c>
    </row>
    <row r="444" spans="1:34" ht="15" customHeight="1" outlineLevel="2" x14ac:dyDescent="0.25">
      <c r="B444" s="71">
        <v>2183</v>
      </c>
      <c r="C444" s="56" t="s">
        <v>80</v>
      </c>
      <c r="E444" s="73">
        <v>13709.61</v>
      </c>
      <c r="F444" s="74">
        <f t="shared" si="635"/>
        <v>19689.461270659158</v>
      </c>
      <c r="G444" s="75">
        <v>1235.0999999999999</v>
      </c>
      <c r="H444" s="56" t="s">
        <v>43</v>
      </c>
      <c r="I444" s="73">
        <f t="shared" si="645"/>
        <v>15.94159280273594</v>
      </c>
      <c r="K444" s="68">
        <f t="shared" si="636"/>
        <v>0</v>
      </c>
      <c r="L444" s="62">
        <f t="shared" si="576"/>
        <v>0</v>
      </c>
      <c r="M444" s="69">
        <f t="shared" si="647"/>
        <v>0</v>
      </c>
      <c r="P444" s="68">
        <f t="shared" si="638"/>
        <v>0</v>
      </c>
      <c r="Q444" s="62">
        <f t="shared" si="577"/>
        <v>0</v>
      </c>
      <c r="R444" s="69">
        <f t="shared" si="649"/>
        <v>0</v>
      </c>
      <c r="U444" s="68">
        <f t="shared" si="640"/>
        <v>0</v>
      </c>
      <c r="V444" s="62">
        <f t="shared" si="574"/>
        <v>0</v>
      </c>
      <c r="W444" s="69">
        <f t="shared" si="651"/>
        <v>0</v>
      </c>
      <c r="Y444" s="75">
        <f>$AD$442*B444/$G$442</f>
        <v>0</v>
      </c>
      <c r="Z444" s="68">
        <f t="shared" si="642"/>
        <v>0</v>
      </c>
      <c r="AA444" s="68">
        <f t="shared" si="575"/>
        <v>0</v>
      </c>
      <c r="AB444" s="69">
        <f t="shared" si="646"/>
        <v>0</v>
      </c>
      <c r="AD444" s="75">
        <f>$AD$442*G444/$G$442</f>
        <v>0</v>
      </c>
    </row>
    <row r="445" spans="1:34" ht="15" customHeight="1" outlineLevel="2" x14ac:dyDescent="0.25">
      <c r="B445" s="71">
        <v>2149</v>
      </c>
      <c r="C445" s="56" t="s">
        <v>48</v>
      </c>
      <c r="E445" s="73">
        <v>10471.5</v>
      </c>
      <c r="F445" s="74">
        <f t="shared" si="635"/>
        <v>15038.953967013456</v>
      </c>
      <c r="G445" s="75">
        <v>1235.0999999999999</v>
      </c>
      <c r="H445" s="56" t="s">
        <v>43</v>
      </c>
      <c r="I445" s="73">
        <f t="shared" si="645"/>
        <v>12.176304725944018</v>
      </c>
      <c r="K445" s="68">
        <f t="shared" si="636"/>
        <v>0</v>
      </c>
      <c r="L445" s="62">
        <f t="shared" si="576"/>
        <v>0</v>
      </c>
      <c r="M445" s="69">
        <f t="shared" si="647"/>
        <v>0</v>
      </c>
      <c r="P445" s="68">
        <f t="shared" si="638"/>
        <v>0</v>
      </c>
      <c r="Q445" s="62">
        <f t="shared" si="577"/>
        <v>0</v>
      </c>
      <c r="R445" s="69">
        <f t="shared" si="649"/>
        <v>0</v>
      </c>
      <c r="U445" s="68">
        <f t="shared" si="640"/>
        <v>0</v>
      </c>
      <c r="V445" s="62">
        <f t="shared" si="574"/>
        <v>0</v>
      </c>
      <c r="W445" s="69">
        <f t="shared" si="651"/>
        <v>0</v>
      </c>
      <c r="Y445" s="75">
        <f>$AD$442*B445/$G$442</f>
        <v>0</v>
      </c>
      <c r="Z445" s="68">
        <f t="shared" si="642"/>
        <v>0</v>
      </c>
      <c r="AA445" s="68">
        <f t="shared" si="575"/>
        <v>0</v>
      </c>
      <c r="AB445" s="69">
        <f t="shared" si="646"/>
        <v>0</v>
      </c>
      <c r="AD445" s="75">
        <f>$AD$442*G445/$G$442</f>
        <v>0</v>
      </c>
    </row>
    <row r="446" spans="1:34" ht="15" customHeight="1" outlineLevel="1" x14ac:dyDescent="0.25">
      <c r="A446" s="67"/>
      <c r="B446" s="66"/>
      <c r="C446" s="67" t="s">
        <v>241</v>
      </c>
      <c r="D446" s="68"/>
      <c r="E446" s="68">
        <v>42839.02</v>
      </c>
      <c r="F446" s="68">
        <f t="shared" si="635"/>
        <v>61524.523685428903</v>
      </c>
      <c r="G446" s="69">
        <v>26760</v>
      </c>
      <c r="H446" s="67" t="s">
        <v>41</v>
      </c>
      <c r="I446" s="68">
        <f t="shared" si="645"/>
        <v>2.2991227087230532</v>
      </c>
      <c r="J446" s="69"/>
      <c r="K446" s="68">
        <f t="shared" si="636"/>
        <v>0</v>
      </c>
      <c r="L446" s="62">
        <f t="shared" si="576"/>
        <v>61524.523685428903</v>
      </c>
      <c r="M446" s="69">
        <f t="shared" si="647"/>
        <v>26760</v>
      </c>
      <c r="N446" s="70">
        <f t="shared" ref="N446" si="684">100%-(L446/$F446)</f>
        <v>0</v>
      </c>
      <c r="O446" s="69"/>
      <c r="P446" s="68">
        <f t="shared" si="638"/>
        <v>0</v>
      </c>
      <c r="Q446" s="62">
        <f t="shared" si="577"/>
        <v>61524.523685428903</v>
      </c>
      <c r="R446" s="69">
        <f t="shared" si="649"/>
        <v>26760</v>
      </c>
      <c r="S446" s="70">
        <f t="shared" ref="S446" si="685">100%-(Q446/$F446)</f>
        <v>0</v>
      </c>
      <c r="T446" s="69"/>
      <c r="U446" s="68">
        <f t="shared" si="640"/>
        <v>0</v>
      </c>
      <c r="V446" s="62">
        <f t="shared" si="574"/>
        <v>61524.523685428903</v>
      </c>
      <c r="W446" s="69">
        <f t="shared" si="651"/>
        <v>26760</v>
      </c>
      <c r="X446" s="70">
        <f t="shared" ref="X446" si="686">100%-(V446/$F446)</f>
        <v>0</v>
      </c>
      <c r="Y446" s="69"/>
      <c r="Z446" s="68">
        <f t="shared" si="642"/>
        <v>0</v>
      </c>
      <c r="AA446" s="68">
        <f t="shared" si="575"/>
        <v>61524.523685428903</v>
      </c>
      <c r="AB446" s="69">
        <f t="shared" si="646"/>
        <v>26760</v>
      </c>
      <c r="AC446" s="70">
        <f t="shared" ref="AC446" si="687">100%-(AA446/$F446)</f>
        <v>0</v>
      </c>
      <c r="AD446" s="69"/>
      <c r="AE446" s="68">
        <f>AD446*I446</f>
        <v>0</v>
      </c>
      <c r="AF446" s="68">
        <f>F446-AE446</f>
        <v>61524.523685428903</v>
      </c>
      <c r="AG446" s="69">
        <f>G446-AD446</f>
        <v>26760</v>
      </c>
      <c r="AH446" s="70">
        <f t="shared" ref="AH446" si="688">100%-(AF446/$F446)</f>
        <v>0</v>
      </c>
    </row>
    <row r="447" spans="1:34" ht="15" customHeight="1" outlineLevel="2" x14ac:dyDescent="0.25">
      <c r="B447" s="71">
        <v>2156</v>
      </c>
      <c r="C447" s="56" t="s">
        <v>82</v>
      </c>
      <c r="E447" s="73">
        <v>30788.99</v>
      </c>
      <c r="F447" s="74">
        <f t="shared" si="635"/>
        <v>44218.517242117909</v>
      </c>
      <c r="G447" s="75">
        <v>26760</v>
      </c>
      <c r="H447" s="56" t="s">
        <v>41</v>
      </c>
      <c r="I447" s="73">
        <f t="shared" si="645"/>
        <v>1.6524109582256319</v>
      </c>
      <c r="K447" s="68">
        <f t="shared" si="636"/>
        <v>0</v>
      </c>
      <c r="L447" s="62">
        <f t="shared" si="576"/>
        <v>0</v>
      </c>
      <c r="M447" s="69">
        <f t="shared" si="647"/>
        <v>0</v>
      </c>
      <c r="P447" s="68">
        <f t="shared" si="638"/>
        <v>0</v>
      </c>
      <c r="Q447" s="62">
        <f t="shared" si="577"/>
        <v>0</v>
      </c>
      <c r="R447" s="69">
        <f t="shared" si="649"/>
        <v>0</v>
      </c>
      <c r="U447" s="68">
        <f t="shared" si="640"/>
        <v>0</v>
      </c>
      <c r="V447" s="62">
        <f t="shared" si="574"/>
        <v>0</v>
      </c>
      <c r="W447" s="69">
        <f t="shared" si="651"/>
        <v>0</v>
      </c>
      <c r="Y447" s="75">
        <f>$AD$446*B447/$G$446</f>
        <v>0</v>
      </c>
      <c r="Z447" s="68">
        <f t="shared" si="642"/>
        <v>0</v>
      </c>
      <c r="AA447" s="68">
        <f t="shared" si="575"/>
        <v>0</v>
      </c>
      <c r="AB447" s="69">
        <f t="shared" si="646"/>
        <v>0</v>
      </c>
      <c r="AD447" s="75">
        <f>$AD$446*G447/$G$446</f>
        <v>0</v>
      </c>
    </row>
    <row r="448" spans="1:34" ht="15" customHeight="1" outlineLevel="2" x14ac:dyDescent="0.25">
      <c r="B448" s="71">
        <v>2183</v>
      </c>
      <c r="C448" s="56" t="s">
        <v>80</v>
      </c>
      <c r="E448" s="73">
        <v>6831.83</v>
      </c>
      <c r="F448" s="74">
        <f t="shared" si="635"/>
        <v>9811.7344105869779</v>
      </c>
      <c r="G448" s="75">
        <v>615.48</v>
      </c>
      <c r="H448" s="56" t="s">
        <v>43</v>
      </c>
      <c r="I448" s="73">
        <f t="shared" si="645"/>
        <v>15.941597469596051</v>
      </c>
      <c r="K448" s="68">
        <f t="shared" si="636"/>
        <v>0</v>
      </c>
      <c r="L448" s="62">
        <f t="shared" si="576"/>
        <v>0</v>
      </c>
      <c r="M448" s="69">
        <f t="shared" si="647"/>
        <v>0</v>
      </c>
      <c r="P448" s="68">
        <f t="shared" si="638"/>
        <v>0</v>
      </c>
      <c r="Q448" s="62">
        <f t="shared" si="577"/>
        <v>0</v>
      </c>
      <c r="R448" s="69">
        <f t="shared" si="649"/>
        <v>0</v>
      </c>
      <c r="U448" s="68">
        <f t="shared" si="640"/>
        <v>0</v>
      </c>
      <c r="V448" s="62">
        <f t="shared" si="574"/>
        <v>0</v>
      </c>
      <c r="W448" s="69">
        <f t="shared" si="651"/>
        <v>0</v>
      </c>
      <c r="Y448" s="75">
        <f>$AD$446*B448/$G$446</f>
        <v>0</v>
      </c>
      <c r="Z448" s="68">
        <f t="shared" si="642"/>
        <v>0</v>
      </c>
      <c r="AA448" s="68">
        <f t="shared" si="575"/>
        <v>0</v>
      </c>
      <c r="AB448" s="69">
        <f t="shared" si="646"/>
        <v>0</v>
      </c>
      <c r="AD448" s="75">
        <f>$AD$446*G448/$G$446</f>
        <v>0</v>
      </c>
    </row>
    <row r="449" spans="1:34" ht="15" customHeight="1" outlineLevel="2" x14ac:dyDescent="0.25">
      <c r="B449" s="71">
        <v>2149</v>
      </c>
      <c r="C449" s="56" t="s">
        <v>48</v>
      </c>
      <c r="E449" s="73">
        <v>5218.2</v>
      </c>
      <c r="F449" s="74">
        <f t="shared" si="635"/>
        <v>7494.272032724024</v>
      </c>
      <c r="G449" s="75">
        <v>615.48</v>
      </c>
      <c r="H449" s="56" t="s">
        <v>43</v>
      </c>
      <c r="I449" s="73">
        <f t="shared" si="645"/>
        <v>12.176304725944018</v>
      </c>
      <c r="K449" s="68">
        <f t="shared" si="636"/>
        <v>0</v>
      </c>
      <c r="L449" s="62">
        <f t="shared" si="576"/>
        <v>0</v>
      </c>
      <c r="M449" s="69">
        <f t="shared" si="647"/>
        <v>0</v>
      </c>
      <c r="P449" s="68">
        <f t="shared" si="638"/>
        <v>0</v>
      </c>
      <c r="Q449" s="62">
        <f t="shared" si="577"/>
        <v>0</v>
      </c>
      <c r="R449" s="69">
        <f t="shared" si="649"/>
        <v>0</v>
      </c>
      <c r="U449" s="68">
        <f t="shared" si="640"/>
        <v>0</v>
      </c>
      <c r="V449" s="62">
        <f t="shared" si="574"/>
        <v>0</v>
      </c>
      <c r="W449" s="69">
        <f t="shared" si="651"/>
        <v>0</v>
      </c>
      <c r="Y449" s="75">
        <f>$AD$446*B449/$G$446</f>
        <v>0</v>
      </c>
      <c r="Z449" s="68">
        <f t="shared" si="642"/>
        <v>0</v>
      </c>
      <c r="AA449" s="68">
        <f t="shared" si="575"/>
        <v>0</v>
      </c>
      <c r="AB449" s="69">
        <f t="shared" si="646"/>
        <v>0</v>
      </c>
      <c r="AD449" s="75">
        <f>$AD$446*G449/$G$446</f>
        <v>0</v>
      </c>
    </row>
    <row r="450" spans="1:34" ht="15" customHeight="1" outlineLevel="1" x14ac:dyDescent="0.25">
      <c r="A450" s="67"/>
      <c r="B450" s="66"/>
      <c r="C450" s="67" t="s">
        <v>242</v>
      </c>
      <c r="D450" s="68"/>
      <c r="E450" s="68">
        <v>1127.01</v>
      </c>
      <c r="F450" s="68">
        <f t="shared" si="635"/>
        <v>1618.5886941091378</v>
      </c>
      <c r="G450" s="69">
        <v>704</v>
      </c>
      <c r="H450" s="67" t="s">
        <v>41</v>
      </c>
      <c r="I450" s="68">
        <f t="shared" si="645"/>
        <v>2.2991316677686617</v>
      </c>
      <c r="J450" s="69"/>
      <c r="K450" s="68">
        <f t="shared" si="636"/>
        <v>0</v>
      </c>
      <c r="L450" s="62">
        <f t="shared" si="576"/>
        <v>1618.5886941091378</v>
      </c>
      <c r="M450" s="69">
        <f t="shared" si="647"/>
        <v>704</v>
      </c>
      <c r="N450" s="70">
        <f t="shared" ref="N450" si="689">100%-(L450/$F450)</f>
        <v>0</v>
      </c>
      <c r="O450" s="69"/>
      <c r="P450" s="68">
        <f t="shared" si="638"/>
        <v>0</v>
      </c>
      <c r="Q450" s="62">
        <f t="shared" si="577"/>
        <v>1618.5886941091378</v>
      </c>
      <c r="R450" s="69">
        <f t="shared" si="649"/>
        <v>704</v>
      </c>
      <c r="S450" s="70">
        <f t="shared" ref="S450" si="690">100%-(Q450/$F450)</f>
        <v>0</v>
      </c>
      <c r="T450" s="69"/>
      <c r="U450" s="68">
        <f t="shared" si="640"/>
        <v>0</v>
      </c>
      <c r="V450" s="62">
        <f t="shared" si="574"/>
        <v>1618.5886941091378</v>
      </c>
      <c r="W450" s="69">
        <f t="shared" si="651"/>
        <v>704</v>
      </c>
      <c r="X450" s="70">
        <f t="shared" ref="X450" si="691">100%-(V450/$F450)</f>
        <v>0</v>
      </c>
      <c r="Y450" s="69"/>
      <c r="Z450" s="68">
        <f t="shared" si="642"/>
        <v>0</v>
      </c>
      <c r="AA450" s="68">
        <f t="shared" si="575"/>
        <v>1618.5886941091378</v>
      </c>
      <c r="AB450" s="69">
        <f t="shared" si="646"/>
        <v>704</v>
      </c>
      <c r="AC450" s="70">
        <f t="shared" ref="AC450" si="692">100%-(AA450/$F450)</f>
        <v>0</v>
      </c>
      <c r="AD450" s="69"/>
      <c r="AE450" s="68">
        <f>AD450*I450</f>
        <v>0</v>
      </c>
      <c r="AF450" s="68">
        <f>F450-AE450</f>
        <v>1618.5886941091378</v>
      </c>
      <c r="AG450" s="69">
        <f>G450-AD450</f>
        <v>704</v>
      </c>
      <c r="AH450" s="70">
        <f t="shared" ref="AH450" si="693">100%-(AF450/$F450)</f>
        <v>0</v>
      </c>
    </row>
    <row r="451" spans="1:34" ht="15" customHeight="1" outlineLevel="2" x14ac:dyDescent="0.25">
      <c r="B451" s="71">
        <v>2156</v>
      </c>
      <c r="C451" s="56" t="s">
        <v>82</v>
      </c>
      <c r="E451" s="73">
        <v>809.99</v>
      </c>
      <c r="F451" s="74">
        <f t="shared" si="635"/>
        <v>1163.2910589448722</v>
      </c>
      <c r="G451" s="75">
        <v>704</v>
      </c>
      <c r="H451" s="56" t="s">
        <v>41</v>
      </c>
      <c r="I451" s="73">
        <f t="shared" si="645"/>
        <v>1.6524020723648754</v>
      </c>
      <c r="K451" s="68">
        <f t="shared" si="636"/>
        <v>0</v>
      </c>
      <c r="L451" s="62">
        <f t="shared" si="576"/>
        <v>0</v>
      </c>
      <c r="M451" s="69">
        <f t="shared" si="647"/>
        <v>0</v>
      </c>
      <c r="P451" s="68">
        <f t="shared" si="638"/>
        <v>0</v>
      </c>
      <c r="Q451" s="62">
        <f t="shared" si="577"/>
        <v>0</v>
      </c>
      <c r="R451" s="69">
        <f t="shared" si="649"/>
        <v>0</v>
      </c>
      <c r="U451" s="68">
        <f t="shared" si="640"/>
        <v>0</v>
      </c>
      <c r="V451" s="62">
        <f t="shared" si="574"/>
        <v>0</v>
      </c>
      <c r="W451" s="69">
        <f t="shared" si="651"/>
        <v>0</v>
      </c>
      <c r="Y451" s="75">
        <f>$AD$450*B451/$G$450</f>
        <v>0</v>
      </c>
      <c r="Z451" s="68">
        <f t="shared" si="642"/>
        <v>0</v>
      </c>
      <c r="AA451" s="68">
        <f t="shared" si="575"/>
        <v>0</v>
      </c>
      <c r="AB451" s="69">
        <f t="shared" si="646"/>
        <v>0</v>
      </c>
      <c r="AD451" s="75">
        <f>$AD$450*G451/$G$450</f>
        <v>0</v>
      </c>
    </row>
    <row r="452" spans="1:34" ht="15" customHeight="1" outlineLevel="2" x14ac:dyDescent="0.25">
      <c r="B452" s="71">
        <v>2183</v>
      </c>
      <c r="C452" s="56" t="s">
        <v>80</v>
      </c>
      <c r="E452" s="73">
        <v>179.73</v>
      </c>
      <c r="F452" s="74">
        <f t="shared" si="635"/>
        <v>258.12454724646216</v>
      </c>
      <c r="G452" s="75">
        <v>16.190000000000001</v>
      </c>
      <c r="H452" s="56" t="s">
        <v>43</v>
      </c>
      <c r="I452" s="73">
        <f t="shared" si="645"/>
        <v>15.943455666859922</v>
      </c>
      <c r="K452" s="68">
        <f t="shared" si="636"/>
        <v>0</v>
      </c>
      <c r="L452" s="62">
        <f t="shared" si="576"/>
        <v>0</v>
      </c>
      <c r="M452" s="69">
        <f t="shared" si="647"/>
        <v>0</v>
      </c>
      <c r="P452" s="68">
        <f t="shared" si="638"/>
        <v>0</v>
      </c>
      <c r="Q452" s="62">
        <f t="shared" si="577"/>
        <v>0</v>
      </c>
      <c r="R452" s="69">
        <f t="shared" si="649"/>
        <v>0</v>
      </c>
      <c r="U452" s="68">
        <f t="shared" si="640"/>
        <v>0</v>
      </c>
      <c r="V452" s="62">
        <f t="shared" si="574"/>
        <v>0</v>
      </c>
      <c r="W452" s="69">
        <f t="shared" si="651"/>
        <v>0</v>
      </c>
      <c r="Y452" s="75">
        <f>$AD$450*B452/$G$450</f>
        <v>0</v>
      </c>
      <c r="Z452" s="68">
        <f t="shared" si="642"/>
        <v>0</v>
      </c>
      <c r="AA452" s="68">
        <f t="shared" si="575"/>
        <v>0</v>
      </c>
      <c r="AB452" s="69">
        <f t="shared" si="646"/>
        <v>0</v>
      </c>
      <c r="AD452" s="75">
        <f>$AD$450*G452/$G$450</f>
        <v>0</v>
      </c>
    </row>
    <row r="453" spans="1:34" ht="15" customHeight="1" outlineLevel="2" x14ac:dyDescent="0.25">
      <c r="B453" s="71">
        <v>2149</v>
      </c>
      <c r="C453" s="56" t="s">
        <v>48</v>
      </c>
      <c r="E453" s="73">
        <v>137.28</v>
      </c>
      <c r="F453" s="74">
        <f t="shared" si="635"/>
        <v>197.15872612248555</v>
      </c>
      <c r="G453" s="75">
        <v>16.190000000000001</v>
      </c>
      <c r="H453" s="56" t="s">
        <v>43</v>
      </c>
      <c r="I453" s="73">
        <f t="shared" si="645"/>
        <v>12.177808901944752</v>
      </c>
      <c r="K453" s="68">
        <f t="shared" si="636"/>
        <v>0</v>
      </c>
      <c r="L453" s="62">
        <f t="shared" si="576"/>
        <v>0</v>
      </c>
      <c r="M453" s="69">
        <f t="shared" si="647"/>
        <v>0</v>
      </c>
      <c r="P453" s="68">
        <f t="shared" si="638"/>
        <v>0</v>
      </c>
      <c r="Q453" s="62">
        <f t="shared" si="577"/>
        <v>0</v>
      </c>
      <c r="R453" s="69">
        <f t="shared" si="649"/>
        <v>0</v>
      </c>
      <c r="U453" s="68">
        <f t="shared" si="640"/>
        <v>0</v>
      </c>
      <c r="V453" s="62">
        <f t="shared" ref="V453:V516" si="694">+AA453-U453</f>
        <v>0</v>
      </c>
      <c r="W453" s="69">
        <f t="shared" si="651"/>
        <v>0</v>
      </c>
      <c r="Y453" s="75">
        <f>$AD$450*B453/$G$450</f>
        <v>0</v>
      </c>
      <c r="Z453" s="68">
        <f t="shared" si="642"/>
        <v>0</v>
      </c>
      <c r="AA453" s="68">
        <f t="shared" ref="AA453:AA516" si="695">+AF453-Z453</f>
        <v>0</v>
      </c>
      <c r="AB453" s="69">
        <f t="shared" si="646"/>
        <v>0</v>
      </c>
      <c r="AD453" s="75">
        <f>$AD$450*G453/$G$450</f>
        <v>0</v>
      </c>
    </row>
    <row r="454" spans="1:34" ht="15" customHeight="1" outlineLevel="1" x14ac:dyDescent="0.25">
      <c r="A454" s="67"/>
      <c r="B454" s="66"/>
      <c r="C454" s="67" t="s">
        <v>243</v>
      </c>
      <c r="D454" s="68"/>
      <c r="E454" s="68">
        <v>406.62</v>
      </c>
      <c r="F454" s="68">
        <f t="shared" si="635"/>
        <v>583.97932121157544</v>
      </c>
      <c r="G454" s="69">
        <v>254</v>
      </c>
      <c r="H454" s="67" t="s">
        <v>41</v>
      </c>
      <c r="I454" s="68">
        <f t="shared" si="645"/>
        <v>2.2991311858723442</v>
      </c>
      <c r="J454" s="69"/>
      <c r="K454" s="68">
        <f t="shared" si="636"/>
        <v>0</v>
      </c>
      <c r="L454" s="62">
        <f t="shared" si="576"/>
        <v>583.97932121157544</v>
      </c>
      <c r="M454" s="69">
        <f t="shared" si="647"/>
        <v>254</v>
      </c>
      <c r="N454" s="70">
        <f t="shared" ref="N454" si="696">100%-(L454/$F454)</f>
        <v>0</v>
      </c>
      <c r="O454" s="69"/>
      <c r="P454" s="68">
        <f t="shared" si="638"/>
        <v>0</v>
      </c>
      <c r="Q454" s="62">
        <f t="shared" si="577"/>
        <v>583.97932121157544</v>
      </c>
      <c r="R454" s="69">
        <f t="shared" si="649"/>
        <v>254</v>
      </c>
      <c r="S454" s="70">
        <f t="shared" ref="S454" si="697">100%-(Q454/$F454)</f>
        <v>0</v>
      </c>
      <c r="T454" s="69"/>
      <c r="U454" s="68">
        <f t="shared" si="640"/>
        <v>0</v>
      </c>
      <c r="V454" s="62">
        <f t="shared" si="694"/>
        <v>583.97932121157544</v>
      </c>
      <c r="W454" s="69">
        <f t="shared" si="651"/>
        <v>254</v>
      </c>
      <c r="X454" s="70">
        <f t="shared" ref="X454" si="698">100%-(V454/$F454)</f>
        <v>0</v>
      </c>
      <c r="Y454" s="69"/>
      <c r="Z454" s="68">
        <f t="shared" si="642"/>
        <v>0</v>
      </c>
      <c r="AA454" s="68">
        <f t="shared" si="695"/>
        <v>583.97932121157544</v>
      </c>
      <c r="AB454" s="69">
        <f t="shared" si="646"/>
        <v>254</v>
      </c>
      <c r="AC454" s="70">
        <f t="shared" ref="AC454" si="699">100%-(AA454/$F454)</f>
        <v>0</v>
      </c>
      <c r="AD454" s="69"/>
      <c r="AE454" s="68">
        <f>AD454*I454</f>
        <v>0</v>
      </c>
      <c r="AF454" s="68">
        <f>F454-AE454</f>
        <v>583.97932121157544</v>
      </c>
      <c r="AG454" s="69">
        <f>G454-AD454</f>
        <v>254</v>
      </c>
      <c r="AH454" s="70">
        <f t="shared" ref="AH454" si="700">100%-(AF454/$F454)</f>
        <v>0</v>
      </c>
    </row>
    <row r="455" spans="1:34" ht="15" customHeight="1" outlineLevel="2" x14ac:dyDescent="0.25">
      <c r="B455" s="71">
        <v>2156</v>
      </c>
      <c r="C455" s="56" t="s">
        <v>82</v>
      </c>
      <c r="E455" s="73">
        <v>292.24</v>
      </c>
      <c r="F455" s="74">
        <f t="shared" si="635"/>
        <v>419.70910636680634</v>
      </c>
      <c r="G455" s="75">
        <v>254</v>
      </c>
      <c r="H455" s="56" t="s">
        <v>41</v>
      </c>
      <c r="I455" s="73">
        <f t="shared" si="645"/>
        <v>1.6523980565622296</v>
      </c>
      <c r="K455" s="68">
        <f t="shared" si="636"/>
        <v>0</v>
      </c>
      <c r="L455" s="62">
        <f t="shared" ref="L455:L518" si="701">+Q455-K455</f>
        <v>0</v>
      </c>
      <c r="M455" s="69">
        <f t="shared" si="647"/>
        <v>0</v>
      </c>
      <c r="P455" s="68">
        <f t="shared" si="638"/>
        <v>0</v>
      </c>
      <c r="Q455" s="62">
        <f t="shared" ref="Q455:Q518" si="702">+V455-P455</f>
        <v>0</v>
      </c>
      <c r="R455" s="69">
        <f t="shared" si="649"/>
        <v>0</v>
      </c>
      <c r="U455" s="68">
        <f t="shared" si="640"/>
        <v>0</v>
      </c>
      <c r="V455" s="62">
        <f t="shared" si="694"/>
        <v>0</v>
      </c>
      <c r="W455" s="69">
        <f t="shared" si="651"/>
        <v>0</v>
      </c>
      <c r="Y455" s="75">
        <f>$AD$454*B455/$G$454</f>
        <v>0</v>
      </c>
      <c r="Z455" s="68">
        <f t="shared" si="642"/>
        <v>0</v>
      </c>
      <c r="AA455" s="68">
        <f t="shared" si="695"/>
        <v>0</v>
      </c>
      <c r="AB455" s="69">
        <f t="shared" si="646"/>
        <v>0</v>
      </c>
      <c r="AD455" s="75">
        <f>$AD$454*G455/$G$454</f>
        <v>0</v>
      </c>
    </row>
    <row r="456" spans="1:34" ht="15" customHeight="1" outlineLevel="2" x14ac:dyDescent="0.25">
      <c r="B456" s="71">
        <v>2183</v>
      </c>
      <c r="C456" s="56" t="s">
        <v>80</v>
      </c>
      <c r="E456" s="73">
        <v>64.849999999999994</v>
      </c>
      <c r="F456" s="74">
        <f t="shared" si="635"/>
        <v>93.136242635804095</v>
      </c>
      <c r="G456" s="75">
        <v>5.84</v>
      </c>
      <c r="H456" s="56" t="s">
        <v>43</v>
      </c>
      <c r="I456" s="73">
        <f t="shared" si="645"/>
        <v>15.94798675270618</v>
      </c>
      <c r="K456" s="68">
        <f t="shared" si="636"/>
        <v>0</v>
      </c>
      <c r="L456" s="62">
        <f t="shared" si="701"/>
        <v>0</v>
      </c>
      <c r="M456" s="69">
        <f t="shared" si="647"/>
        <v>0</v>
      </c>
      <c r="P456" s="68">
        <f t="shared" si="638"/>
        <v>0</v>
      </c>
      <c r="Q456" s="62">
        <f t="shared" si="702"/>
        <v>0</v>
      </c>
      <c r="R456" s="69">
        <f t="shared" si="649"/>
        <v>0</v>
      </c>
      <c r="U456" s="68">
        <f t="shared" si="640"/>
        <v>0</v>
      </c>
      <c r="V456" s="62">
        <f t="shared" si="694"/>
        <v>0</v>
      </c>
      <c r="W456" s="69">
        <f t="shared" si="651"/>
        <v>0</v>
      </c>
      <c r="Y456" s="75">
        <f>$AD$454*B456/$G$454</f>
        <v>0</v>
      </c>
      <c r="Z456" s="68">
        <f t="shared" si="642"/>
        <v>0</v>
      </c>
      <c r="AA456" s="68">
        <f t="shared" si="695"/>
        <v>0</v>
      </c>
      <c r="AB456" s="69">
        <f t="shared" si="646"/>
        <v>0</v>
      </c>
      <c r="AD456" s="75">
        <f>$AD$454*G456/$G$454</f>
        <v>0</v>
      </c>
    </row>
    <row r="457" spans="1:34" ht="15" customHeight="1" outlineLevel="2" x14ac:dyDescent="0.25">
      <c r="B457" s="71">
        <v>2149</v>
      </c>
      <c r="C457" s="56" t="s">
        <v>48</v>
      </c>
      <c r="E457" s="73">
        <v>49.53</v>
      </c>
      <c r="F457" s="74">
        <f t="shared" si="635"/>
        <v>71.133972208964948</v>
      </c>
      <c r="G457" s="75">
        <v>5.84</v>
      </c>
      <c r="H457" s="56" t="s">
        <v>43</v>
      </c>
      <c r="I457" s="73">
        <f t="shared" si="645"/>
        <v>12.180474693315917</v>
      </c>
      <c r="K457" s="68">
        <f t="shared" si="636"/>
        <v>0</v>
      </c>
      <c r="L457" s="62">
        <f t="shared" si="701"/>
        <v>0</v>
      </c>
      <c r="M457" s="69">
        <f t="shared" si="647"/>
        <v>0</v>
      </c>
      <c r="P457" s="68">
        <f t="shared" si="638"/>
        <v>0</v>
      </c>
      <c r="Q457" s="62">
        <f t="shared" si="702"/>
        <v>0</v>
      </c>
      <c r="R457" s="69">
        <f t="shared" si="649"/>
        <v>0</v>
      </c>
      <c r="U457" s="68">
        <f t="shared" si="640"/>
        <v>0</v>
      </c>
      <c r="V457" s="62">
        <f t="shared" si="694"/>
        <v>0</v>
      </c>
      <c r="W457" s="69">
        <f t="shared" si="651"/>
        <v>0</v>
      </c>
      <c r="Y457" s="75">
        <f>$AD$454*B457/$G$454</f>
        <v>0</v>
      </c>
      <c r="Z457" s="68">
        <f t="shared" si="642"/>
        <v>0</v>
      </c>
      <c r="AA457" s="68">
        <f t="shared" si="695"/>
        <v>0</v>
      </c>
      <c r="AB457" s="69">
        <f t="shared" si="646"/>
        <v>0</v>
      </c>
      <c r="AD457" s="75">
        <f>$AD$454*G457/$G$454</f>
        <v>0</v>
      </c>
    </row>
    <row r="458" spans="1:34" ht="15" customHeight="1" outlineLevel="1" x14ac:dyDescent="0.25">
      <c r="A458" s="67"/>
      <c r="B458" s="66"/>
      <c r="C458" s="67" t="s">
        <v>244</v>
      </c>
      <c r="D458" s="68"/>
      <c r="E458" s="68">
        <v>937.78</v>
      </c>
      <c r="F458" s="68">
        <f t="shared" si="635"/>
        <v>1346.8204413107844</v>
      </c>
      <c r="G458" s="69">
        <v>14</v>
      </c>
      <c r="H458" s="67" t="s">
        <v>39</v>
      </c>
      <c r="I458" s="68">
        <f t="shared" ref="I458" si="703">F458/G458</f>
        <v>96.20146009362746</v>
      </c>
      <c r="J458" s="69"/>
      <c r="K458" s="68">
        <f t="shared" si="636"/>
        <v>0</v>
      </c>
      <c r="L458" s="62">
        <f t="shared" si="701"/>
        <v>1346.8204413107844</v>
      </c>
      <c r="M458" s="69">
        <f t="shared" si="647"/>
        <v>14</v>
      </c>
      <c r="N458" s="70">
        <f t="shared" ref="N458" si="704">100%-(L458/$F458)</f>
        <v>0</v>
      </c>
      <c r="O458" s="69"/>
      <c r="P458" s="68">
        <f t="shared" si="638"/>
        <v>0</v>
      </c>
      <c r="Q458" s="62">
        <f t="shared" si="702"/>
        <v>1346.8204413107844</v>
      </c>
      <c r="R458" s="69">
        <f t="shared" si="649"/>
        <v>14</v>
      </c>
      <c r="S458" s="70">
        <f t="shared" ref="S458" si="705">100%-(Q458/$F458)</f>
        <v>0</v>
      </c>
      <c r="T458" s="69"/>
      <c r="U458" s="68">
        <f t="shared" si="640"/>
        <v>0</v>
      </c>
      <c r="V458" s="62">
        <f t="shared" si="694"/>
        <v>1346.8204413107844</v>
      </c>
      <c r="W458" s="69">
        <f t="shared" si="651"/>
        <v>14</v>
      </c>
      <c r="X458" s="70">
        <f t="shared" ref="X458" si="706">100%-(V458/$F458)</f>
        <v>0</v>
      </c>
      <c r="Y458" s="69"/>
      <c r="Z458" s="68">
        <f t="shared" si="642"/>
        <v>0</v>
      </c>
      <c r="AA458" s="68">
        <f t="shared" si="695"/>
        <v>1346.8204413107844</v>
      </c>
      <c r="AB458" s="69">
        <f t="shared" si="646"/>
        <v>14</v>
      </c>
      <c r="AC458" s="70">
        <f t="shared" ref="AC458" si="707">100%-(AA458/$F458)</f>
        <v>0</v>
      </c>
      <c r="AD458" s="69"/>
      <c r="AE458" s="68">
        <f>AD458*I458</f>
        <v>0</v>
      </c>
      <c r="AF458" s="68">
        <f>F458-AE458</f>
        <v>1346.8204413107844</v>
      </c>
      <c r="AG458" s="69">
        <f>G458-AD458</f>
        <v>14</v>
      </c>
      <c r="AH458" s="70">
        <f t="shared" ref="AH458" si="708">100%-(AF458/$F458)</f>
        <v>0</v>
      </c>
    </row>
    <row r="459" spans="1:34" ht="15" customHeight="1" outlineLevel="2" x14ac:dyDescent="0.25">
      <c r="B459" s="71">
        <v>2105</v>
      </c>
      <c r="C459" s="56" t="s">
        <v>244</v>
      </c>
      <c r="E459" s="73">
        <v>937.78</v>
      </c>
      <c r="F459" s="74">
        <f t="shared" si="635"/>
        <v>1346.8204413107844</v>
      </c>
      <c r="G459" s="75">
        <v>14</v>
      </c>
      <c r="H459" s="56" t="s">
        <v>39</v>
      </c>
      <c r="I459" s="73">
        <f t="shared" si="645"/>
        <v>96.20146009362746</v>
      </c>
      <c r="K459" s="68">
        <f t="shared" si="636"/>
        <v>0</v>
      </c>
      <c r="L459" s="62">
        <f t="shared" si="701"/>
        <v>0</v>
      </c>
      <c r="M459" s="69">
        <f t="shared" si="647"/>
        <v>0</v>
      </c>
      <c r="P459" s="68">
        <f t="shared" si="638"/>
        <v>0</v>
      </c>
      <c r="Q459" s="62">
        <f t="shared" si="702"/>
        <v>0</v>
      </c>
      <c r="R459" s="69">
        <f t="shared" si="649"/>
        <v>0</v>
      </c>
      <c r="U459" s="68">
        <f t="shared" si="640"/>
        <v>0</v>
      </c>
      <c r="V459" s="62">
        <f t="shared" si="694"/>
        <v>0</v>
      </c>
      <c r="W459" s="69">
        <f t="shared" si="651"/>
        <v>0</v>
      </c>
      <c r="Y459" s="75">
        <f>$AD$458*B459/$G$458</f>
        <v>0</v>
      </c>
      <c r="Z459" s="68">
        <f t="shared" si="642"/>
        <v>0</v>
      </c>
      <c r="AA459" s="68">
        <f t="shared" si="695"/>
        <v>0</v>
      </c>
      <c r="AB459" s="69">
        <f t="shared" si="646"/>
        <v>0</v>
      </c>
      <c r="AD459" s="75">
        <f>$AD$458*G459/$G$458</f>
        <v>0</v>
      </c>
    </row>
    <row r="460" spans="1:34" ht="15" customHeight="1" outlineLevel="1" x14ac:dyDescent="0.25">
      <c r="A460" s="67"/>
      <c r="B460" s="66"/>
      <c r="C460" s="67" t="s">
        <v>245</v>
      </c>
      <c r="D460" s="68"/>
      <c r="E460" s="68">
        <v>1071.75</v>
      </c>
      <c r="F460" s="68">
        <f t="shared" si="635"/>
        <v>1539.2254131830848</v>
      </c>
      <c r="G460" s="69">
        <v>16</v>
      </c>
      <c r="H460" s="67" t="s">
        <v>39</v>
      </c>
      <c r="I460" s="68">
        <f t="shared" ref="I460" si="709">F460/G460</f>
        <v>96.201588323942801</v>
      </c>
      <c r="J460" s="69"/>
      <c r="K460" s="68">
        <f t="shared" si="636"/>
        <v>0</v>
      </c>
      <c r="L460" s="62">
        <f t="shared" si="701"/>
        <v>1539.2254131830848</v>
      </c>
      <c r="M460" s="69">
        <f t="shared" si="647"/>
        <v>16</v>
      </c>
      <c r="N460" s="70">
        <f t="shared" ref="N460" si="710">100%-(L460/$F460)</f>
        <v>0</v>
      </c>
      <c r="O460" s="69"/>
      <c r="P460" s="68">
        <f t="shared" si="638"/>
        <v>0</v>
      </c>
      <c r="Q460" s="62">
        <f t="shared" si="702"/>
        <v>1539.2254131830848</v>
      </c>
      <c r="R460" s="69">
        <f t="shared" si="649"/>
        <v>16</v>
      </c>
      <c r="S460" s="70">
        <f t="shared" ref="S460" si="711">100%-(Q460/$F460)</f>
        <v>0</v>
      </c>
      <c r="T460" s="69"/>
      <c r="U460" s="68">
        <f t="shared" si="640"/>
        <v>0</v>
      </c>
      <c r="V460" s="62">
        <f t="shared" si="694"/>
        <v>1539.2254131830848</v>
      </c>
      <c r="W460" s="69">
        <f t="shared" si="651"/>
        <v>16</v>
      </c>
      <c r="X460" s="70">
        <f t="shared" ref="X460" si="712">100%-(V460/$F460)</f>
        <v>0</v>
      </c>
      <c r="Y460" s="69"/>
      <c r="Z460" s="68">
        <f t="shared" si="642"/>
        <v>0</v>
      </c>
      <c r="AA460" s="68">
        <f t="shared" si="695"/>
        <v>1539.2254131830848</v>
      </c>
      <c r="AB460" s="69">
        <f t="shared" si="646"/>
        <v>16</v>
      </c>
      <c r="AC460" s="70">
        <f t="shared" ref="AC460" si="713">100%-(AA460/$F460)</f>
        <v>0</v>
      </c>
      <c r="AD460" s="69"/>
      <c r="AE460" s="68">
        <f>AD460*I460</f>
        <v>0</v>
      </c>
      <c r="AF460" s="68">
        <f>F460-AE460</f>
        <v>1539.2254131830848</v>
      </c>
      <c r="AG460" s="69">
        <f>G460-AD460</f>
        <v>16</v>
      </c>
      <c r="AH460" s="70">
        <f t="shared" ref="AH460" si="714">100%-(AF460/$F460)</f>
        <v>0</v>
      </c>
    </row>
    <row r="461" spans="1:34" ht="15" customHeight="1" outlineLevel="2" x14ac:dyDescent="0.25">
      <c r="B461" s="71">
        <v>2105</v>
      </c>
      <c r="C461" s="56" t="s">
        <v>245</v>
      </c>
      <c r="E461" s="73">
        <v>1071.75</v>
      </c>
      <c r="F461" s="74">
        <f t="shared" si="635"/>
        <v>1539.2254131830848</v>
      </c>
      <c r="G461" s="75">
        <v>16</v>
      </c>
      <c r="H461" s="56" t="s">
        <v>39</v>
      </c>
      <c r="I461" s="73">
        <f t="shared" si="645"/>
        <v>96.201588323942801</v>
      </c>
      <c r="K461" s="68">
        <f t="shared" si="636"/>
        <v>0</v>
      </c>
      <c r="L461" s="62">
        <f t="shared" si="701"/>
        <v>0</v>
      </c>
      <c r="M461" s="69">
        <f t="shared" si="647"/>
        <v>0</v>
      </c>
      <c r="P461" s="68">
        <f t="shared" si="638"/>
        <v>0</v>
      </c>
      <c r="Q461" s="62">
        <f t="shared" si="702"/>
        <v>0</v>
      </c>
      <c r="R461" s="69">
        <f t="shared" si="649"/>
        <v>0</v>
      </c>
      <c r="U461" s="68">
        <f t="shared" si="640"/>
        <v>0</v>
      </c>
      <c r="V461" s="62">
        <f t="shared" si="694"/>
        <v>0</v>
      </c>
      <c r="W461" s="69">
        <f t="shared" si="651"/>
        <v>0</v>
      </c>
      <c r="Y461" s="75">
        <f>$AD$460*B461/$G$460</f>
        <v>0</v>
      </c>
      <c r="Z461" s="68">
        <f t="shared" si="642"/>
        <v>0</v>
      </c>
      <c r="AA461" s="68">
        <f t="shared" si="695"/>
        <v>0</v>
      </c>
      <c r="AB461" s="69">
        <f t="shared" si="646"/>
        <v>0</v>
      </c>
      <c r="AD461" s="75">
        <f>$AD$460*G461/$G$460</f>
        <v>0</v>
      </c>
    </row>
    <row r="462" spans="1:34" ht="15" customHeight="1" outlineLevel="1" x14ac:dyDescent="0.25">
      <c r="A462" s="67"/>
      <c r="B462" s="66"/>
      <c r="C462" s="67" t="s">
        <v>246</v>
      </c>
      <c r="D462" s="68"/>
      <c r="E462" s="68">
        <v>66.98</v>
      </c>
      <c r="F462" s="68">
        <f t="shared" si="635"/>
        <v>96.19530503849127</v>
      </c>
      <c r="G462" s="69">
        <v>1</v>
      </c>
      <c r="H462" s="67" t="s">
        <v>39</v>
      </c>
      <c r="I462" s="68">
        <f t="shared" ref="I462" si="715">F462/G462</f>
        <v>96.19530503849127</v>
      </c>
      <c r="J462" s="69"/>
      <c r="K462" s="68">
        <f t="shared" si="636"/>
        <v>0</v>
      </c>
      <c r="L462" s="62">
        <f t="shared" si="701"/>
        <v>96.19530503849127</v>
      </c>
      <c r="M462" s="69">
        <f t="shared" si="647"/>
        <v>1</v>
      </c>
      <c r="N462" s="70">
        <f t="shared" ref="N462" si="716">100%-(L462/$F462)</f>
        <v>0</v>
      </c>
      <c r="O462" s="69"/>
      <c r="P462" s="68">
        <f t="shared" si="638"/>
        <v>0</v>
      </c>
      <c r="Q462" s="62">
        <f t="shared" si="702"/>
        <v>96.19530503849127</v>
      </c>
      <c r="R462" s="69">
        <f t="shared" si="649"/>
        <v>1</v>
      </c>
      <c r="S462" s="70">
        <f t="shared" ref="S462" si="717">100%-(Q462/$F462)</f>
        <v>0</v>
      </c>
      <c r="T462" s="69"/>
      <c r="U462" s="68">
        <f t="shared" si="640"/>
        <v>0</v>
      </c>
      <c r="V462" s="62">
        <f t="shared" si="694"/>
        <v>96.19530503849127</v>
      </c>
      <c r="W462" s="69">
        <f t="shared" si="651"/>
        <v>1</v>
      </c>
      <c r="X462" s="70">
        <f t="shared" ref="X462" si="718">100%-(V462/$F462)</f>
        <v>0</v>
      </c>
      <c r="Y462" s="69"/>
      <c r="Z462" s="68">
        <f t="shared" si="642"/>
        <v>0</v>
      </c>
      <c r="AA462" s="68">
        <f t="shared" si="695"/>
        <v>96.19530503849127</v>
      </c>
      <c r="AB462" s="69">
        <f t="shared" si="646"/>
        <v>1</v>
      </c>
      <c r="AC462" s="70">
        <f t="shared" ref="AC462" si="719">100%-(AA462/$F462)</f>
        <v>0</v>
      </c>
      <c r="AD462" s="69"/>
      <c r="AE462" s="68">
        <f>AD462*I462</f>
        <v>0</v>
      </c>
      <c r="AF462" s="68">
        <f>F462-AE462</f>
        <v>96.19530503849127</v>
      </c>
      <c r="AG462" s="69">
        <f>G462-AD462</f>
        <v>1</v>
      </c>
      <c r="AH462" s="70">
        <f t="shared" ref="AH462" si="720">100%-(AF462/$F462)</f>
        <v>0</v>
      </c>
    </row>
    <row r="463" spans="1:34" ht="15" customHeight="1" outlineLevel="2" x14ac:dyDescent="0.25">
      <c r="B463" s="71">
        <v>2105</v>
      </c>
      <c r="C463" s="56" t="s">
        <v>246</v>
      </c>
      <c r="E463" s="73">
        <v>66.98</v>
      </c>
      <c r="F463" s="74">
        <f t="shared" si="635"/>
        <v>96.19530503849127</v>
      </c>
      <c r="G463" s="75">
        <v>1</v>
      </c>
      <c r="H463" s="56" t="s">
        <v>39</v>
      </c>
      <c r="I463" s="73">
        <f t="shared" si="645"/>
        <v>96.19530503849127</v>
      </c>
      <c r="L463" s="62">
        <f t="shared" si="701"/>
        <v>0</v>
      </c>
      <c r="M463" s="69">
        <f t="shared" si="647"/>
        <v>0</v>
      </c>
      <c r="Q463" s="62">
        <f t="shared" si="702"/>
        <v>0</v>
      </c>
      <c r="R463" s="69">
        <f t="shared" si="649"/>
        <v>0</v>
      </c>
      <c r="V463" s="62">
        <f t="shared" si="694"/>
        <v>0</v>
      </c>
      <c r="W463" s="69">
        <f t="shared" si="651"/>
        <v>0</v>
      </c>
      <c r="Y463" s="75">
        <f>$AD$462*B463/$G$462</f>
        <v>0</v>
      </c>
      <c r="AA463" s="68">
        <f t="shared" si="695"/>
        <v>0</v>
      </c>
      <c r="AB463" s="69">
        <f t="shared" si="646"/>
        <v>0</v>
      </c>
      <c r="AD463" s="75">
        <f>$AD$462*G463/$G$462</f>
        <v>0</v>
      </c>
    </row>
    <row r="464" spans="1:34" ht="15" customHeight="1" x14ac:dyDescent="0.25">
      <c r="A464" s="60">
        <v>8</v>
      </c>
      <c r="B464" s="60"/>
      <c r="C464" s="61" t="s">
        <v>88</v>
      </c>
      <c r="D464" s="62">
        <f>_xlfn.XLOOKUP(A464,SOV!$A$9:$A$27,SOV!$C$9:$C$27)</f>
        <v>1367500</v>
      </c>
      <c r="E464" s="62">
        <v>1026056.55</v>
      </c>
      <c r="F464" s="62"/>
      <c r="G464" s="63"/>
      <c r="H464" s="64"/>
      <c r="I464" s="62"/>
      <c r="J464" s="63"/>
      <c r="K464" s="62">
        <f>SUM(K465,K466,K467,K468,K469,K470,K471,K472,K473,K474,K475,K476,K477,K478,K479,K480,K482,K485,K488)</f>
        <v>0</v>
      </c>
      <c r="L464" s="62">
        <f t="shared" si="701"/>
        <v>1195393.5635175279</v>
      </c>
      <c r="M464" s="69">
        <f t="shared" si="647"/>
        <v>0</v>
      </c>
      <c r="N464" s="65"/>
      <c r="O464" s="63"/>
      <c r="P464" s="62">
        <f>SUM(P465,P466,P467,P468,P469,P470,P471,P472,P473,P474,P475,P476,P477,P478,P479,P480,P482,P485,P488)</f>
        <v>126090.69176060522</v>
      </c>
      <c r="Q464" s="62">
        <f t="shared" si="702"/>
        <v>1195393.5635175279</v>
      </c>
      <c r="R464" s="69">
        <f t="shared" si="649"/>
        <v>0</v>
      </c>
      <c r="S464" s="65"/>
      <c r="T464" s="63"/>
      <c r="U464" s="62">
        <f>SUM(U465,U466,U467,U468,U469,U470,U471,U472,U473,U474,U475,U476,U477,U478,U479,U480,U482,U485,U488)</f>
        <v>5575.2409547074167</v>
      </c>
      <c r="V464" s="62">
        <f t="shared" si="694"/>
        <v>1321484.2552781331</v>
      </c>
      <c r="W464" s="69">
        <f t="shared" si="651"/>
        <v>0</v>
      </c>
      <c r="X464" s="65"/>
      <c r="Y464" s="63"/>
      <c r="Z464" s="62">
        <f>SUM(Z465,Z466,Z467,Z468,Z469,Z470,Z471,Z472,Z473,Z474,Z475,Z476,Z477,Z478,Z479,Z480,Z482,Z485,Z488)</f>
        <v>40440.503767160015</v>
      </c>
      <c r="AA464" s="68">
        <f t="shared" si="695"/>
        <v>1327059.4962328405</v>
      </c>
      <c r="AB464" s="69">
        <f t="shared" si="646"/>
        <v>0</v>
      </c>
      <c r="AC464" s="65"/>
      <c r="AD464" s="63"/>
      <c r="AE464" s="62">
        <f>SUM(AE465,AE466,AE467,AE468,AE469,AE470,AE471,AE472,AE473,AE474,AE475,AE476,AE477,AE478,AE479,AE480,AE482,AE485,AE488)</f>
        <v>0</v>
      </c>
      <c r="AF464" s="62">
        <f>SUM(AF465,AF466,AF467,AF468,AF469,AF470,AF471,AF472,AF473,AF474,AF475,AF476,AF477,AF478,AF479,AF480,AF482,AF485,AF488)</f>
        <v>1367500.0000000005</v>
      </c>
      <c r="AG464" s="63"/>
      <c r="AH464" s="65"/>
    </row>
    <row r="465" spans="1:34" ht="15" customHeight="1" outlineLevel="1" x14ac:dyDescent="0.25">
      <c r="A465" s="67"/>
      <c r="B465" s="66">
        <v>3251</v>
      </c>
      <c r="C465" s="67" t="s">
        <v>247</v>
      </c>
      <c r="D465" s="68"/>
      <c r="E465" s="68">
        <v>85070.89</v>
      </c>
      <c r="F465" s="68">
        <f t="shared" ref="F465:F488" si="721">$D$464/$E$464*E465</f>
        <v>113380.14661570067</v>
      </c>
      <c r="G465" s="69">
        <v>4215</v>
      </c>
      <c r="H465" s="67" t="s">
        <v>40</v>
      </c>
      <c r="I465" s="68">
        <f t="shared" si="645"/>
        <v>26.899204416536339</v>
      </c>
      <c r="J465" s="69"/>
      <c r="K465" s="68">
        <f t="shared" ref="K465:K480" si="722">+J465*$I465</f>
        <v>0</v>
      </c>
      <c r="L465" s="62">
        <f t="shared" si="701"/>
        <v>113380.14661570067</v>
      </c>
      <c r="M465" s="69">
        <f t="shared" si="647"/>
        <v>4215</v>
      </c>
      <c r="N465" s="70">
        <f t="shared" ref="N465:N480" si="723">100%-(L465/$F465)</f>
        <v>0</v>
      </c>
      <c r="O465" s="69"/>
      <c r="P465" s="68">
        <f t="shared" ref="P465:P480" si="724">+O465*$I465</f>
        <v>0</v>
      </c>
      <c r="Q465" s="62">
        <f t="shared" si="702"/>
        <v>113380.14661570067</v>
      </c>
      <c r="R465" s="69">
        <f t="shared" si="649"/>
        <v>4215</v>
      </c>
      <c r="S465" s="70">
        <f t="shared" ref="S465:S480" si="725">100%-(Q465/$F465)</f>
        <v>0</v>
      </c>
      <c r="T465" s="69"/>
      <c r="U465" s="68">
        <f t="shared" ref="U465:U480" si="726">+T465*$I465</f>
        <v>0</v>
      </c>
      <c r="V465" s="62">
        <f t="shared" si="694"/>
        <v>113380.14661570067</v>
      </c>
      <c r="W465" s="69">
        <f t="shared" si="651"/>
        <v>4215</v>
      </c>
      <c r="X465" s="70">
        <f t="shared" ref="X465:X480" si="727">100%-(V465/$F465)</f>
        <v>0</v>
      </c>
      <c r="Y465" s="69"/>
      <c r="Z465" s="68">
        <f t="shared" ref="Z465:Z480" si="728">+Y465*I465</f>
        <v>0</v>
      </c>
      <c r="AA465" s="68">
        <f t="shared" si="695"/>
        <v>113380.14661570067</v>
      </c>
      <c r="AB465" s="69">
        <f t="shared" si="646"/>
        <v>4215</v>
      </c>
      <c r="AC465" s="70">
        <f t="shared" ref="AC465:AC480" si="729">100%-(AA465/$F465)</f>
        <v>0</v>
      </c>
      <c r="AD465" s="69"/>
      <c r="AE465" s="68">
        <f t="shared" ref="AE465:AE480" si="730">AD465*I465</f>
        <v>0</v>
      </c>
      <c r="AF465" s="68">
        <f t="shared" ref="AF465:AF480" si="731">F465-AE465</f>
        <v>113380.14661570067</v>
      </c>
      <c r="AG465" s="69">
        <f t="shared" ref="AG465:AG480" si="732">G465-AD465</f>
        <v>4215</v>
      </c>
      <c r="AH465" s="70">
        <f t="shared" ref="AH465:AH480" si="733">100%-(AF465/$F465)</f>
        <v>0</v>
      </c>
    </row>
    <row r="466" spans="1:34" ht="15" customHeight="1" outlineLevel="1" x14ac:dyDescent="0.25">
      <c r="A466" s="67"/>
      <c r="B466" s="66">
        <v>3251</v>
      </c>
      <c r="C466" s="67" t="s">
        <v>248</v>
      </c>
      <c r="D466" s="68"/>
      <c r="E466" s="68">
        <v>598.20000000000005</v>
      </c>
      <c r="F466" s="68">
        <f t="shared" si="721"/>
        <v>797.2645367353291</v>
      </c>
      <c r="G466" s="69">
        <v>35</v>
      </c>
      <c r="H466" s="67" t="s">
        <v>40</v>
      </c>
      <c r="I466" s="68">
        <f t="shared" si="645"/>
        <v>22.778986763866545</v>
      </c>
      <c r="J466" s="69"/>
      <c r="K466" s="68">
        <f t="shared" si="722"/>
        <v>0</v>
      </c>
      <c r="L466" s="62">
        <f t="shared" si="701"/>
        <v>797.2645367353291</v>
      </c>
      <c r="M466" s="69">
        <f t="shared" si="647"/>
        <v>35</v>
      </c>
      <c r="N466" s="70">
        <f t="shared" si="723"/>
        <v>0</v>
      </c>
      <c r="O466" s="69"/>
      <c r="P466" s="68">
        <f t="shared" si="724"/>
        <v>0</v>
      </c>
      <c r="Q466" s="62">
        <f t="shared" si="702"/>
        <v>797.2645367353291</v>
      </c>
      <c r="R466" s="69">
        <f t="shared" si="649"/>
        <v>35</v>
      </c>
      <c r="S466" s="70">
        <f t="shared" si="725"/>
        <v>0</v>
      </c>
      <c r="T466" s="69"/>
      <c r="U466" s="68">
        <f t="shared" si="726"/>
        <v>0</v>
      </c>
      <c r="V466" s="62">
        <f t="shared" si="694"/>
        <v>797.2645367353291</v>
      </c>
      <c r="W466" s="69">
        <f t="shared" si="651"/>
        <v>35</v>
      </c>
      <c r="X466" s="70">
        <f t="shared" si="727"/>
        <v>0</v>
      </c>
      <c r="Y466" s="69"/>
      <c r="Z466" s="68">
        <f t="shared" si="728"/>
        <v>0</v>
      </c>
      <c r="AA466" s="68">
        <f t="shared" si="695"/>
        <v>797.2645367353291</v>
      </c>
      <c r="AB466" s="69">
        <f t="shared" si="646"/>
        <v>35</v>
      </c>
      <c r="AC466" s="70">
        <f t="shared" si="729"/>
        <v>0</v>
      </c>
      <c r="AD466" s="69"/>
      <c r="AE466" s="68">
        <f t="shared" si="730"/>
        <v>0</v>
      </c>
      <c r="AF466" s="68">
        <f t="shared" si="731"/>
        <v>797.2645367353291</v>
      </c>
      <c r="AG466" s="69">
        <f t="shared" si="732"/>
        <v>35</v>
      </c>
      <c r="AH466" s="70">
        <f t="shared" si="733"/>
        <v>0</v>
      </c>
    </row>
    <row r="467" spans="1:34" ht="15" customHeight="1" outlineLevel="1" x14ac:dyDescent="0.25">
      <c r="A467" s="67"/>
      <c r="B467" s="66">
        <v>3251</v>
      </c>
      <c r="C467" s="67" t="s">
        <v>249</v>
      </c>
      <c r="D467" s="68"/>
      <c r="E467" s="68">
        <v>20578.740000000002</v>
      </c>
      <c r="F467" s="68">
        <f t="shared" si="721"/>
        <v>27426.779693575372</v>
      </c>
      <c r="G467" s="69">
        <v>1158</v>
      </c>
      <c r="H467" s="67" t="s">
        <v>40</v>
      </c>
      <c r="I467" s="68">
        <f t="shared" si="645"/>
        <v>23.684611134348334</v>
      </c>
      <c r="J467" s="69"/>
      <c r="K467" s="68">
        <f t="shared" si="722"/>
        <v>0</v>
      </c>
      <c r="L467" s="62">
        <f t="shared" si="701"/>
        <v>27426.779693575372</v>
      </c>
      <c r="M467" s="69">
        <f t="shared" si="647"/>
        <v>1158</v>
      </c>
      <c r="N467" s="70">
        <f t="shared" si="723"/>
        <v>0</v>
      </c>
      <c r="O467" s="69"/>
      <c r="P467" s="68">
        <f t="shared" si="724"/>
        <v>0</v>
      </c>
      <c r="Q467" s="62">
        <f t="shared" si="702"/>
        <v>27426.779693575372</v>
      </c>
      <c r="R467" s="69">
        <f t="shared" si="649"/>
        <v>1158</v>
      </c>
      <c r="S467" s="70">
        <f t="shared" si="725"/>
        <v>0</v>
      </c>
      <c r="T467" s="69"/>
      <c r="U467" s="68">
        <f t="shared" si="726"/>
        <v>0</v>
      </c>
      <c r="V467" s="62">
        <f t="shared" si="694"/>
        <v>27426.779693575372</v>
      </c>
      <c r="W467" s="69">
        <f t="shared" si="651"/>
        <v>1158</v>
      </c>
      <c r="X467" s="70">
        <f t="shared" si="727"/>
        <v>0</v>
      </c>
      <c r="Y467" s="69"/>
      <c r="Z467" s="68">
        <f t="shared" si="728"/>
        <v>0</v>
      </c>
      <c r="AA467" s="68">
        <f t="shared" si="695"/>
        <v>27426.779693575372</v>
      </c>
      <c r="AB467" s="69">
        <f t="shared" si="646"/>
        <v>1158</v>
      </c>
      <c r="AC467" s="70">
        <f t="shared" si="729"/>
        <v>0</v>
      </c>
      <c r="AD467" s="69"/>
      <c r="AE467" s="68">
        <f t="shared" si="730"/>
        <v>0</v>
      </c>
      <c r="AF467" s="68">
        <f t="shared" si="731"/>
        <v>27426.779693575372</v>
      </c>
      <c r="AG467" s="69">
        <f t="shared" si="732"/>
        <v>1158</v>
      </c>
      <c r="AH467" s="70">
        <f t="shared" si="733"/>
        <v>0</v>
      </c>
    </row>
    <row r="468" spans="1:34" ht="15" customHeight="1" outlineLevel="1" x14ac:dyDescent="0.25">
      <c r="A468" s="67"/>
      <c r="B468" s="66">
        <v>3251</v>
      </c>
      <c r="C468" s="67" t="s">
        <v>250</v>
      </c>
      <c r="D468" s="68"/>
      <c r="E468" s="68">
        <v>44657.71</v>
      </c>
      <c r="F468" s="68">
        <f t="shared" si="721"/>
        <v>59518.569834187016</v>
      </c>
      <c r="G468" s="69">
        <v>2318</v>
      </c>
      <c r="H468" s="67" t="s">
        <v>40</v>
      </c>
      <c r="I468" s="68">
        <f t="shared" si="645"/>
        <v>25.676691041495694</v>
      </c>
      <c r="J468" s="69"/>
      <c r="K468" s="68">
        <f t="shared" si="722"/>
        <v>0</v>
      </c>
      <c r="L468" s="62">
        <f t="shared" si="701"/>
        <v>59518.569834187016</v>
      </c>
      <c r="M468" s="69">
        <f t="shared" si="647"/>
        <v>2318</v>
      </c>
      <c r="N468" s="70">
        <f t="shared" si="723"/>
        <v>0</v>
      </c>
      <c r="O468" s="69"/>
      <c r="P468" s="68">
        <f t="shared" si="724"/>
        <v>0</v>
      </c>
      <c r="Q468" s="62">
        <f t="shared" si="702"/>
        <v>59518.569834187016</v>
      </c>
      <c r="R468" s="69">
        <f t="shared" si="649"/>
        <v>2318</v>
      </c>
      <c r="S468" s="70">
        <f t="shared" si="725"/>
        <v>0</v>
      </c>
      <c r="T468" s="69"/>
      <c r="U468" s="68">
        <f t="shared" si="726"/>
        <v>0</v>
      </c>
      <c r="V468" s="62">
        <f t="shared" si="694"/>
        <v>59518.569834187016</v>
      </c>
      <c r="W468" s="69">
        <f t="shared" si="651"/>
        <v>2318</v>
      </c>
      <c r="X468" s="70">
        <f t="shared" si="727"/>
        <v>0</v>
      </c>
      <c r="Y468" s="69"/>
      <c r="Z468" s="68">
        <f t="shared" si="728"/>
        <v>0</v>
      </c>
      <c r="AA468" s="68">
        <f t="shared" si="695"/>
        <v>59518.569834187016</v>
      </c>
      <c r="AB468" s="69">
        <f t="shared" si="646"/>
        <v>2318</v>
      </c>
      <c r="AC468" s="70">
        <f t="shared" si="729"/>
        <v>0</v>
      </c>
      <c r="AD468" s="69"/>
      <c r="AE468" s="68">
        <f t="shared" si="730"/>
        <v>0</v>
      </c>
      <c r="AF468" s="68">
        <f t="shared" si="731"/>
        <v>59518.569834187016</v>
      </c>
      <c r="AG468" s="69">
        <f t="shared" si="732"/>
        <v>2318</v>
      </c>
      <c r="AH468" s="70">
        <f t="shared" si="733"/>
        <v>0</v>
      </c>
    </row>
    <row r="469" spans="1:34" ht="15" customHeight="1" outlineLevel="1" x14ac:dyDescent="0.25">
      <c r="A469" s="67"/>
      <c r="B469" s="66">
        <v>3251</v>
      </c>
      <c r="C469" s="67" t="s">
        <v>251</v>
      </c>
      <c r="D469" s="68"/>
      <c r="E469" s="68">
        <v>17124.810000000001</v>
      </c>
      <c r="F469" s="68">
        <f t="shared" si="721"/>
        <v>22823.476615397078</v>
      </c>
      <c r="G469" s="69">
        <v>770</v>
      </c>
      <c r="H469" s="67" t="s">
        <v>40</v>
      </c>
      <c r="I469" s="68">
        <f t="shared" si="645"/>
        <v>29.640878721294907</v>
      </c>
      <c r="J469" s="69"/>
      <c r="K469" s="68">
        <f t="shared" si="722"/>
        <v>0</v>
      </c>
      <c r="L469" s="62">
        <f t="shared" si="701"/>
        <v>22823.476615397078</v>
      </c>
      <c r="M469" s="69">
        <f t="shared" si="647"/>
        <v>770</v>
      </c>
      <c r="N469" s="70">
        <f t="shared" si="723"/>
        <v>0</v>
      </c>
      <c r="O469" s="69"/>
      <c r="P469" s="68">
        <f t="shared" si="724"/>
        <v>0</v>
      </c>
      <c r="Q469" s="62">
        <f t="shared" si="702"/>
        <v>22823.476615397078</v>
      </c>
      <c r="R469" s="69">
        <f t="shared" si="649"/>
        <v>770</v>
      </c>
      <c r="S469" s="70">
        <f t="shared" si="725"/>
        <v>0</v>
      </c>
      <c r="T469" s="69"/>
      <c r="U469" s="68">
        <f t="shared" si="726"/>
        <v>0</v>
      </c>
      <c r="V469" s="62">
        <f t="shared" si="694"/>
        <v>22823.476615397078</v>
      </c>
      <c r="W469" s="69">
        <f t="shared" si="651"/>
        <v>770</v>
      </c>
      <c r="X469" s="70">
        <f t="shared" si="727"/>
        <v>0</v>
      </c>
      <c r="Y469" s="69"/>
      <c r="Z469" s="68">
        <f t="shared" si="728"/>
        <v>0</v>
      </c>
      <c r="AA469" s="68">
        <f t="shared" si="695"/>
        <v>22823.476615397078</v>
      </c>
      <c r="AB469" s="69">
        <f t="shared" si="646"/>
        <v>770</v>
      </c>
      <c r="AC469" s="70">
        <f t="shared" si="729"/>
        <v>0</v>
      </c>
      <c r="AD469" s="69"/>
      <c r="AE469" s="68">
        <f t="shared" si="730"/>
        <v>0</v>
      </c>
      <c r="AF469" s="68">
        <f t="shared" si="731"/>
        <v>22823.476615397078</v>
      </c>
      <c r="AG469" s="69">
        <f t="shared" si="732"/>
        <v>770</v>
      </c>
      <c r="AH469" s="70">
        <f t="shared" si="733"/>
        <v>0</v>
      </c>
    </row>
    <row r="470" spans="1:34" ht="15" customHeight="1" outlineLevel="1" x14ac:dyDescent="0.25">
      <c r="A470" s="67"/>
      <c r="B470" s="66">
        <v>3251</v>
      </c>
      <c r="C470" s="67" t="s">
        <v>252</v>
      </c>
      <c r="D470" s="68"/>
      <c r="E470" s="68">
        <v>34526.33</v>
      </c>
      <c r="F470" s="68">
        <f t="shared" si="721"/>
        <v>46015.744721867428</v>
      </c>
      <c r="G470" s="69">
        <v>1725</v>
      </c>
      <c r="H470" s="67" t="s">
        <v>40</v>
      </c>
      <c r="I470" s="68">
        <f t="shared" si="645"/>
        <v>26.675794041662279</v>
      </c>
      <c r="J470" s="69"/>
      <c r="K470" s="68">
        <f t="shared" si="722"/>
        <v>0</v>
      </c>
      <c r="L470" s="62">
        <f t="shared" si="701"/>
        <v>0</v>
      </c>
      <c r="M470" s="69">
        <f t="shared" si="647"/>
        <v>0</v>
      </c>
      <c r="N470" s="70">
        <f t="shared" si="723"/>
        <v>1</v>
      </c>
      <c r="O470" s="69"/>
      <c r="P470" s="68">
        <f t="shared" si="724"/>
        <v>0</v>
      </c>
      <c r="Q470" s="62">
        <f t="shared" si="702"/>
        <v>0</v>
      </c>
      <c r="R470" s="69">
        <f t="shared" si="649"/>
        <v>0</v>
      </c>
      <c r="S470" s="70">
        <f t="shared" si="725"/>
        <v>1</v>
      </c>
      <c r="T470" s="69">
        <v>209</v>
      </c>
      <c r="U470" s="68">
        <f t="shared" si="726"/>
        <v>5575.2409547074167</v>
      </c>
      <c r="V470" s="62">
        <f t="shared" si="694"/>
        <v>0</v>
      </c>
      <c r="W470" s="69">
        <f t="shared" si="651"/>
        <v>0</v>
      </c>
      <c r="X470" s="70">
        <f t="shared" si="727"/>
        <v>1</v>
      </c>
      <c r="Y470" s="69">
        <v>1516</v>
      </c>
      <c r="Z470" s="68">
        <f t="shared" si="728"/>
        <v>40440.503767160015</v>
      </c>
      <c r="AA470" s="68">
        <f t="shared" si="695"/>
        <v>5575.240954707413</v>
      </c>
      <c r="AB470" s="69">
        <f t="shared" si="646"/>
        <v>209</v>
      </c>
      <c r="AC470" s="70">
        <f t="shared" si="729"/>
        <v>0.87884057971014495</v>
      </c>
      <c r="AD470" s="69"/>
      <c r="AE470" s="68">
        <f t="shared" si="730"/>
        <v>0</v>
      </c>
      <c r="AF470" s="68">
        <f t="shared" si="731"/>
        <v>46015.744721867428</v>
      </c>
      <c r="AG470" s="69">
        <f t="shared" si="732"/>
        <v>1725</v>
      </c>
      <c r="AH470" s="70">
        <f t="shared" si="733"/>
        <v>0</v>
      </c>
    </row>
    <row r="471" spans="1:34" ht="15" customHeight="1" outlineLevel="1" x14ac:dyDescent="0.25">
      <c r="A471" s="67"/>
      <c r="B471" s="66">
        <v>3254</v>
      </c>
      <c r="C471" s="67" t="s">
        <v>253</v>
      </c>
      <c r="D471" s="68"/>
      <c r="E471" s="68">
        <v>309399.62</v>
      </c>
      <c r="F471" s="68">
        <f t="shared" si="721"/>
        <v>412359.31913304387</v>
      </c>
      <c r="G471" s="69">
        <v>53250</v>
      </c>
      <c r="H471" s="67" t="s">
        <v>41</v>
      </c>
      <c r="I471" s="68">
        <f t="shared" si="645"/>
        <v>7.743836979024298</v>
      </c>
      <c r="J471" s="69"/>
      <c r="K471" s="68">
        <f t="shared" si="722"/>
        <v>0</v>
      </c>
      <c r="L471" s="62">
        <f t="shared" si="701"/>
        <v>412359.31913304387</v>
      </c>
      <c r="M471" s="69">
        <f t="shared" si="647"/>
        <v>53250</v>
      </c>
      <c r="N471" s="70">
        <f t="shared" si="723"/>
        <v>0</v>
      </c>
      <c r="O471" s="69"/>
      <c r="P471" s="68">
        <f t="shared" si="724"/>
        <v>0</v>
      </c>
      <c r="Q471" s="62">
        <f t="shared" si="702"/>
        <v>412359.31913304387</v>
      </c>
      <c r="R471" s="69">
        <f t="shared" si="649"/>
        <v>53250</v>
      </c>
      <c r="S471" s="70">
        <f t="shared" si="725"/>
        <v>0</v>
      </c>
      <c r="T471" s="69"/>
      <c r="U471" s="68">
        <f t="shared" si="726"/>
        <v>0</v>
      </c>
      <c r="V471" s="62">
        <f t="shared" si="694"/>
        <v>412359.31913304387</v>
      </c>
      <c r="W471" s="69">
        <f t="shared" si="651"/>
        <v>53250</v>
      </c>
      <c r="X471" s="70">
        <f t="shared" si="727"/>
        <v>0</v>
      </c>
      <c r="Y471" s="69"/>
      <c r="Z471" s="68">
        <f t="shared" si="728"/>
        <v>0</v>
      </c>
      <c r="AA471" s="68">
        <f t="shared" si="695"/>
        <v>412359.31913304387</v>
      </c>
      <c r="AB471" s="69">
        <f t="shared" si="646"/>
        <v>53250</v>
      </c>
      <c r="AC471" s="70">
        <f t="shared" si="729"/>
        <v>0</v>
      </c>
      <c r="AD471" s="69"/>
      <c r="AE471" s="68">
        <f t="shared" si="730"/>
        <v>0</v>
      </c>
      <c r="AF471" s="68">
        <f t="shared" si="731"/>
        <v>412359.31913304387</v>
      </c>
      <c r="AG471" s="69">
        <f t="shared" si="732"/>
        <v>53250</v>
      </c>
      <c r="AH471" s="70">
        <f t="shared" si="733"/>
        <v>0</v>
      </c>
    </row>
    <row r="472" spans="1:34" ht="15" customHeight="1" outlineLevel="1" x14ac:dyDescent="0.25">
      <c r="A472" s="67"/>
      <c r="B472" s="66">
        <v>3254</v>
      </c>
      <c r="C472" s="67" t="s">
        <v>254</v>
      </c>
      <c r="D472" s="68"/>
      <c r="E472" s="68">
        <v>185251.28</v>
      </c>
      <c r="F472" s="68">
        <f t="shared" si="721"/>
        <v>246897.82000806875</v>
      </c>
      <c r="G472" s="69">
        <v>26760</v>
      </c>
      <c r="H472" s="67" t="s">
        <v>41</v>
      </c>
      <c r="I472" s="68">
        <f t="shared" si="645"/>
        <v>9.2263759345317169</v>
      </c>
      <c r="J472" s="69"/>
      <c r="K472" s="68">
        <f t="shared" si="722"/>
        <v>0</v>
      </c>
      <c r="L472" s="62">
        <f t="shared" si="701"/>
        <v>246897.82000806875</v>
      </c>
      <c r="M472" s="69">
        <f t="shared" si="647"/>
        <v>26760</v>
      </c>
      <c r="N472" s="70">
        <f t="shared" si="723"/>
        <v>0</v>
      </c>
      <c r="O472" s="69"/>
      <c r="P472" s="68">
        <f t="shared" si="724"/>
        <v>0</v>
      </c>
      <c r="Q472" s="62">
        <f t="shared" si="702"/>
        <v>246897.82000806875</v>
      </c>
      <c r="R472" s="69">
        <f t="shared" si="649"/>
        <v>26760</v>
      </c>
      <c r="S472" s="70">
        <f t="shared" si="725"/>
        <v>0</v>
      </c>
      <c r="T472" s="69"/>
      <c r="U472" s="68">
        <f t="shared" si="726"/>
        <v>0</v>
      </c>
      <c r="V472" s="62">
        <f t="shared" si="694"/>
        <v>246897.82000806875</v>
      </c>
      <c r="W472" s="69">
        <f t="shared" si="651"/>
        <v>26760</v>
      </c>
      <c r="X472" s="70">
        <f t="shared" si="727"/>
        <v>0</v>
      </c>
      <c r="Y472" s="69"/>
      <c r="Z472" s="68">
        <f t="shared" si="728"/>
        <v>0</v>
      </c>
      <c r="AA472" s="68">
        <f t="shared" si="695"/>
        <v>246897.82000806875</v>
      </c>
      <c r="AB472" s="69">
        <f t="shared" si="646"/>
        <v>26760</v>
      </c>
      <c r="AC472" s="70">
        <f t="shared" si="729"/>
        <v>0</v>
      </c>
      <c r="AD472" s="69"/>
      <c r="AE472" s="68">
        <f t="shared" si="730"/>
        <v>0</v>
      </c>
      <c r="AF472" s="68">
        <f t="shared" si="731"/>
        <v>246897.82000806875</v>
      </c>
      <c r="AG472" s="69">
        <f t="shared" si="732"/>
        <v>26760</v>
      </c>
      <c r="AH472" s="70">
        <f t="shared" si="733"/>
        <v>0</v>
      </c>
    </row>
    <row r="473" spans="1:34" ht="15" customHeight="1" outlineLevel="1" x14ac:dyDescent="0.25">
      <c r="A473" s="67"/>
      <c r="B473" s="66">
        <v>3254</v>
      </c>
      <c r="C473" s="67" t="s">
        <v>255</v>
      </c>
      <c r="D473" s="68"/>
      <c r="E473" s="68">
        <v>7598.37</v>
      </c>
      <c r="F473" s="68">
        <f t="shared" si="721"/>
        <v>10126.89892676968</v>
      </c>
      <c r="G473" s="69">
        <v>704</v>
      </c>
      <c r="H473" s="67" t="s">
        <v>41</v>
      </c>
      <c r="I473" s="68">
        <f t="shared" si="645"/>
        <v>14.38479961188875</v>
      </c>
      <c r="J473" s="69"/>
      <c r="K473" s="68">
        <f t="shared" si="722"/>
        <v>0</v>
      </c>
      <c r="L473" s="62">
        <f t="shared" si="701"/>
        <v>10126.89892676968</v>
      </c>
      <c r="M473" s="69">
        <f t="shared" si="647"/>
        <v>704</v>
      </c>
      <c r="N473" s="70">
        <f t="shared" si="723"/>
        <v>0</v>
      </c>
      <c r="O473" s="69"/>
      <c r="P473" s="68">
        <f t="shared" si="724"/>
        <v>0</v>
      </c>
      <c r="Q473" s="62">
        <f t="shared" si="702"/>
        <v>10126.89892676968</v>
      </c>
      <c r="R473" s="69">
        <f t="shared" si="649"/>
        <v>704</v>
      </c>
      <c r="S473" s="70">
        <f t="shared" si="725"/>
        <v>0</v>
      </c>
      <c r="T473" s="69"/>
      <c r="U473" s="68">
        <f t="shared" si="726"/>
        <v>0</v>
      </c>
      <c r="V473" s="62">
        <f t="shared" si="694"/>
        <v>10126.89892676968</v>
      </c>
      <c r="W473" s="69">
        <f t="shared" si="651"/>
        <v>704</v>
      </c>
      <c r="X473" s="70">
        <f t="shared" si="727"/>
        <v>0</v>
      </c>
      <c r="Y473" s="69"/>
      <c r="Z473" s="68">
        <f t="shared" si="728"/>
        <v>0</v>
      </c>
      <c r="AA473" s="68">
        <f t="shared" si="695"/>
        <v>10126.89892676968</v>
      </c>
      <c r="AB473" s="69">
        <f t="shared" si="646"/>
        <v>704</v>
      </c>
      <c r="AC473" s="70">
        <f t="shared" si="729"/>
        <v>0</v>
      </c>
      <c r="AD473" s="69"/>
      <c r="AE473" s="68">
        <f t="shared" si="730"/>
        <v>0</v>
      </c>
      <c r="AF473" s="68">
        <f t="shared" si="731"/>
        <v>10126.89892676968</v>
      </c>
      <c r="AG473" s="69">
        <f t="shared" si="732"/>
        <v>704</v>
      </c>
      <c r="AH473" s="70">
        <f t="shared" si="733"/>
        <v>0</v>
      </c>
    </row>
    <row r="474" spans="1:34" ht="15" customHeight="1" outlineLevel="1" x14ac:dyDescent="0.25">
      <c r="A474" s="67"/>
      <c r="B474" s="66">
        <v>3251</v>
      </c>
      <c r="C474" s="67" t="s">
        <v>256</v>
      </c>
      <c r="D474" s="68"/>
      <c r="E474" s="68">
        <v>1140.9100000000001</v>
      </c>
      <c r="F474" s="68">
        <f t="shared" si="721"/>
        <v>1520.5735249192651</v>
      </c>
      <c r="G474" s="69">
        <v>68</v>
      </c>
      <c r="H474" s="67" t="s">
        <v>40</v>
      </c>
      <c r="I474" s="68">
        <f t="shared" si="645"/>
        <v>22.361375366459782</v>
      </c>
      <c r="J474" s="69"/>
      <c r="K474" s="68">
        <f t="shared" si="722"/>
        <v>0</v>
      </c>
      <c r="L474" s="62">
        <f t="shared" si="701"/>
        <v>1520.5735249192651</v>
      </c>
      <c r="M474" s="69">
        <f t="shared" si="647"/>
        <v>68</v>
      </c>
      <c r="N474" s="70">
        <f t="shared" si="723"/>
        <v>0</v>
      </c>
      <c r="O474" s="69"/>
      <c r="P474" s="68">
        <f t="shared" si="724"/>
        <v>0</v>
      </c>
      <c r="Q474" s="62">
        <f t="shared" si="702"/>
        <v>1520.5735249192651</v>
      </c>
      <c r="R474" s="69">
        <f t="shared" si="649"/>
        <v>68</v>
      </c>
      <c r="S474" s="70">
        <f t="shared" si="725"/>
        <v>0</v>
      </c>
      <c r="T474" s="69"/>
      <c r="U474" s="68">
        <f t="shared" si="726"/>
        <v>0</v>
      </c>
      <c r="V474" s="62">
        <f t="shared" si="694"/>
        <v>1520.5735249192651</v>
      </c>
      <c r="W474" s="69">
        <f t="shared" si="651"/>
        <v>68</v>
      </c>
      <c r="X474" s="70">
        <f t="shared" si="727"/>
        <v>0</v>
      </c>
      <c r="Y474" s="69"/>
      <c r="Z474" s="68">
        <f t="shared" si="728"/>
        <v>0</v>
      </c>
      <c r="AA474" s="68">
        <f t="shared" si="695"/>
        <v>1520.5735249192651</v>
      </c>
      <c r="AB474" s="69">
        <f t="shared" si="646"/>
        <v>68</v>
      </c>
      <c r="AC474" s="70">
        <f t="shared" si="729"/>
        <v>0</v>
      </c>
      <c r="AD474" s="69"/>
      <c r="AE474" s="68">
        <f t="shared" si="730"/>
        <v>0</v>
      </c>
      <c r="AF474" s="68">
        <f t="shared" si="731"/>
        <v>1520.5735249192651</v>
      </c>
      <c r="AG474" s="69">
        <f t="shared" si="732"/>
        <v>68</v>
      </c>
      <c r="AH474" s="70">
        <f t="shared" si="733"/>
        <v>0</v>
      </c>
    </row>
    <row r="475" spans="1:34" ht="15" customHeight="1" outlineLevel="1" x14ac:dyDescent="0.25">
      <c r="A475" s="67"/>
      <c r="B475" s="66">
        <v>3251</v>
      </c>
      <c r="C475" s="67" t="s">
        <v>257</v>
      </c>
      <c r="D475" s="68"/>
      <c r="E475" s="68">
        <v>905.34</v>
      </c>
      <c r="F475" s="68">
        <f t="shared" si="721"/>
        <v>1206.6122963690452</v>
      </c>
      <c r="G475" s="69">
        <v>57</v>
      </c>
      <c r="H475" s="67" t="s">
        <v>40</v>
      </c>
      <c r="I475" s="68">
        <f t="shared" si="645"/>
        <v>21.168636778404302</v>
      </c>
      <c r="J475" s="69"/>
      <c r="K475" s="68">
        <f t="shared" si="722"/>
        <v>0</v>
      </c>
      <c r="L475" s="62">
        <f t="shared" si="701"/>
        <v>1206.6122963690452</v>
      </c>
      <c r="M475" s="69">
        <f t="shared" si="647"/>
        <v>57</v>
      </c>
      <c r="N475" s="70">
        <f t="shared" si="723"/>
        <v>0</v>
      </c>
      <c r="O475" s="69"/>
      <c r="P475" s="68">
        <f t="shared" si="724"/>
        <v>0</v>
      </c>
      <c r="Q475" s="62">
        <f t="shared" si="702"/>
        <v>1206.6122963690452</v>
      </c>
      <c r="R475" s="69">
        <f t="shared" si="649"/>
        <v>57</v>
      </c>
      <c r="S475" s="70">
        <f t="shared" si="725"/>
        <v>0</v>
      </c>
      <c r="T475" s="69"/>
      <c r="U475" s="68">
        <f t="shared" si="726"/>
        <v>0</v>
      </c>
      <c r="V475" s="62">
        <f t="shared" si="694"/>
        <v>1206.6122963690452</v>
      </c>
      <c r="W475" s="69">
        <f t="shared" si="651"/>
        <v>57</v>
      </c>
      <c r="X475" s="70">
        <f t="shared" si="727"/>
        <v>0</v>
      </c>
      <c r="Y475" s="69"/>
      <c r="Z475" s="68">
        <f t="shared" si="728"/>
        <v>0</v>
      </c>
      <c r="AA475" s="68">
        <f t="shared" si="695"/>
        <v>1206.6122963690452</v>
      </c>
      <c r="AB475" s="69">
        <f t="shared" si="646"/>
        <v>57</v>
      </c>
      <c r="AC475" s="70">
        <f t="shared" si="729"/>
        <v>0</v>
      </c>
      <c r="AD475" s="69"/>
      <c r="AE475" s="68">
        <f t="shared" si="730"/>
        <v>0</v>
      </c>
      <c r="AF475" s="68">
        <f t="shared" si="731"/>
        <v>1206.6122963690452</v>
      </c>
      <c r="AG475" s="69">
        <f t="shared" si="732"/>
        <v>57</v>
      </c>
      <c r="AH475" s="70">
        <f t="shared" si="733"/>
        <v>0</v>
      </c>
    </row>
    <row r="476" spans="1:34" ht="15" customHeight="1" outlineLevel="1" x14ac:dyDescent="0.25">
      <c r="A476" s="67"/>
      <c r="B476" s="66">
        <v>3135</v>
      </c>
      <c r="C476" s="67" t="s">
        <v>258</v>
      </c>
      <c r="D476" s="68"/>
      <c r="E476" s="68">
        <v>5594.32</v>
      </c>
      <c r="F476" s="68">
        <f t="shared" si="721"/>
        <v>7455.956106902685</v>
      </c>
      <c r="G476" s="69">
        <v>14</v>
      </c>
      <c r="H476" s="67" t="s">
        <v>39</v>
      </c>
      <c r="I476" s="68">
        <f t="shared" si="645"/>
        <v>532.56829335019177</v>
      </c>
      <c r="J476" s="69"/>
      <c r="K476" s="68">
        <f t="shared" si="722"/>
        <v>0</v>
      </c>
      <c r="L476" s="62">
        <f t="shared" si="701"/>
        <v>7455.956106902685</v>
      </c>
      <c r="M476" s="69">
        <f t="shared" si="647"/>
        <v>14</v>
      </c>
      <c r="N476" s="70">
        <f t="shared" si="723"/>
        <v>0</v>
      </c>
      <c r="O476" s="69"/>
      <c r="P476" s="68">
        <f t="shared" si="724"/>
        <v>0</v>
      </c>
      <c r="Q476" s="62">
        <f t="shared" si="702"/>
        <v>7455.956106902685</v>
      </c>
      <c r="R476" s="69">
        <f t="shared" si="649"/>
        <v>14</v>
      </c>
      <c r="S476" s="70">
        <f t="shared" si="725"/>
        <v>0</v>
      </c>
      <c r="T476" s="69"/>
      <c r="U476" s="68">
        <f t="shared" si="726"/>
        <v>0</v>
      </c>
      <c r="V476" s="62">
        <f t="shared" si="694"/>
        <v>7455.956106902685</v>
      </c>
      <c r="W476" s="69">
        <f t="shared" si="651"/>
        <v>14</v>
      </c>
      <c r="X476" s="70">
        <f t="shared" si="727"/>
        <v>0</v>
      </c>
      <c r="Y476" s="69"/>
      <c r="Z476" s="68">
        <f t="shared" si="728"/>
        <v>0</v>
      </c>
      <c r="AA476" s="68">
        <f t="shared" si="695"/>
        <v>7455.956106902685</v>
      </c>
      <c r="AB476" s="69">
        <f t="shared" si="646"/>
        <v>14</v>
      </c>
      <c r="AC476" s="70">
        <f t="shared" si="729"/>
        <v>0</v>
      </c>
      <c r="AD476" s="69"/>
      <c r="AE476" s="68">
        <f t="shared" si="730"/>
        <v>0</v>
      </c>
      <c r="AF476" s="68">
        <f t="shared" si="731"/>
        <v>7455.956106902685</v>
      </c>
      <c r="AG476" s="69">
        <f t="shared" si="732"/>
        <v>14</v>
      </c>
      <c r="AH476" s="70">
        <f t="shared" si="733"/>
        <v>0</v>
      </c>
    </row>
    <row r="477" spans="1:34" ht="15" customHeight="1" outlineLevel="1" x14ac:dyDescent="0.25">
      <c r="A477" s="67"/>
      <c r="B477" s="66">
        <v>3135</v>
      </c>
      <c r="C477" s="67" t="s">
        <v>259</v>
      </c>
      <c r="D477" s="68"/>
      <c r="E477" s="68">
        <v>6052.63</v>
      </c>
      <c r="F477" s="68">
        <f t="shared" si="721"/>
        <v>8066.7790922439899</v>
      </c>
      <c r="G477" s="69">
        <v>16</v>
      </c>
      <c r="H477" s="67" t="s">
        <v>39</v>
      </c>
      <c r="I477" s="68">
        <f t="shared" si="645"/>
        <v>504.17369326524937</v>
      </c>
      <c r="J477" s="69"/>
      <c r="K477" s="68">
        <f t="shared" si="722"/>
        <v>0</v>
      </c>
      <c r="L477" s="62">
        <f t="shared" si="701"/>
        <v>8066.7790922439899</v>
      </c>
      <c r="M477" s="69">
        <f t="shared" si="647"/>
        <v>16</v>
      </c>
      <c r="N477" s="70">
        <f t="shared" si="723"/>
        <v>0</v>
      </c>
      <c r="O477" s="69"/>
      <c r="P477" s="68">
        <f t="shared" si="724"/>
        <v>0</v>
      </c>
      <c r="Q477" s="62">
        <f t="shared" si="702"/>
        <v>8066.7790922439899</v>
      </c>
      <c r="R477" s="69">
        <f t="shared" si="649"/>
        <v>16</v>
      </c>
      <c r="S477" s="70">
        <f t="shared" si="725"/>
        <v>0</v>
      </c>
      <c r="T477" s="69"/>
      <c r="U477" s="68">
        <f t="shared" si="726"/>
        <v>0</v>
      </c>
      <c r="V477" s="62">
        <f t="shared" si="694"/>
        <v>8066.7790922439899</v>
      </c>
      <c r="W477" s="69">
        <f t="shared" si="651"/>
        <v>16</v>
      </c>
      <c r="X477" s="70">
        <f t="shared" si="727"/>
        <v>0</v>
      </c>
      <c r="Y477" s="69"/>
      <c r="Z477" s="68">
        <f t="shared" si="728"/>
        <v>0</v>
      </c>
      <c r="AA477" s="68">
        <f t="shared" si="695"/>
        <v>8066.7790922439899</v>
      </c>
      <c r="AB477" s="69">
        <f t="shared" si="646"/>
        <v>16</v>
      </c>
      <c r="AC477" s="70">
        <f t="shared" si="729"/>
        <v>0</v>
      </c>
      <c r="AD477" s="69"/>
      <c r="AE477" s="68">
        <f t="shared" si="730"/>
        <v>0</v>
      </c>
      <c r="AF477" s="68">
        <f t="shared" si="731"/>
        <v>8066.7790922439899</v>
      </c>
      <c r="AG477" s="69">
        <f t="shared" si="732"/>
        <v>16</v>
      </c>
      <c r="AH477" s="70">
        <f t="shared" si="733"/>
        <v>0</v>
      </c>
    </row>
    <row r="478" spans="1:34" ht="15" customHeight="1" outlineLevel="1" x14ac:dyDescent="0.25">
      <c r="A478" s="67"/>
      <c r="B478" s="66">
        <v>3135</v>
      </c>
      <c r="C478" s="67" t="s">
        <v>260</v>
      </c>
      <c r="D478" s="68"/>
      <c r="E478" s="68">
        <v>400.2</v>
      </c>
      <c r="F478" s="68">
        <f t="shared" si="721"/>
        <v>533.37557272062634</v>
      </c>
      <c r="G478" s="69">
        <v>1</v>
      </c>
      <c r="H478" s="67" t="s">
        <v>39</v>
      </c>
      <c r="I478" s="68">
        <f t="shared" si="645"/>
        <v>533.37557272062634</v>
      </c>
      <c r="J478" s="69"/>
      <c r="K478" s="68">
        <f t="shared" si="722"/>
        <v>0</v>
      </c>
      <c r="L478" s="62">
        <f t="shared" si="701"/>
        <v>533.37557272062634</v>
      </c>
      <c r="M478" s="69">
        <f t="shared" si="647"/>
        <v>1</v>
      </c>
      <c r="N478" s="70">
        <f t="shared" si="723"/>
        <v>0</v>
      </c>
      <c r="O478" s="69"/>
      <c r="P478" s="68">
        <f t="shared" si="724"/>
        <v>0</v>
      </c>
      <c r="Q478" s="62">
        <f t="shared" si="702"/>
        <v>533.37557272062634</v>
      </c>
      <c r="R478" s="69">
        <f t="shared" si="649"/>
        <v>1</v>
      </c>
      <c r="S478" s="70">
        <f t="shared" si="725"/>
        <v>0</v>
      </c>
      <c r="T478" s="69"/>
      <c r="U478" s="68">
        <f t="shared" si="726"/>
        <v>0</v>
      </c>
      <c r="V478" s="62">
        <f t="shared" si="694"/>
        <v>533.37557272062634</v>
      </c>
      <c r="W478" s="69">
        <f t="shared" si="651"/>
        <v>1</v>
      </c>
      <c r="X478" s="70">
        <f t="shared" si="727"/>
        <v>0</v>
      </c>
      <c r="Y478" s="69"/>
      <c r="Z478" s="68">
        <f t="shared" si="728"/>
        <v>0</v>
      </c>
      <c r="AA478" s="68">
        <f t="shared" si="695"/>
        <v>533.37557272062634</v>
      </c>
      <c r="AB478" s="69">
        <f t="shared" si="646"/>
        <v>1</v>
      </c>
      <c r="AC478" s="70">
        <f t="shared" si="729"/>
        <v>0</v>
      </c>
      <c r="AD478" s="69"/>
      <c r="AE478" s="68">
        <f t="shared" si="730"/>
        <v>0</v>
      </c>
      <c r="AF478" s="68">
        <f t="shared" si="731"/>
        <v>533.37557272062634</v>
      </c>
      <c r="AG478" s="69">
        <f t="shared" si="732"/>
        <v>1</v>
      </c>
      <c r="AH478" s="70">
        <f t="shared" si="733"/>
        <v>0</v>
      </c>
    </row>
    <row r="479" spans="1:34" ht="15" customHeight="1" outlineLevel="1" x14ac:dyDescent="0.25">
      <c r="A479" s="67"/>
      <c r="B479" s="66">
        <v>3230</v>
      </c>
      <c r="C479" s="67" t="s">
        <v>261</v>
      </c>
      <c r="D479" s="68"/>
      <c r="E479" s="68">
        <v>188657.77</v>
      </c>
      <c r="F479" s="68">
        <f t="shared" si="721"/>
        <v>251437.89635668715</v>
      </c>
      <c r="G479" s="69">
        <v>5394</v>
      </c>
      <c r="H479" s="67" t="s">
        <v>41</v>
      </c>
      <c r="I479" s="68">
        <f t="shared" si="645"/>
        <v>46.614367140653904</v>
      </c>
      <c r="J479" s="69"/>
      <c r="K479" s="68">
        <f t="shared" si="722"/>
        <v>0</v>
      </c>
      <c r="L479" s="62">
        <f t="shared" si="701"/>
        <v>251437.89635668715</v>
      </c>
      <c r="M479" s="69">
        <f t="shared" si="647"/>
        <v>5394</v>
      </c>
      <c r="N479" s="70">
        <f t="shared" si="723"/>
        <v>0</v>
      </c>
      <c r="O479" s="69"/>
      <c r="P479" s="68">
        <f t="shared" si="724"/>
        <v>0</v>
      </c>
      <c r="Q479" s="62">
        <f t="shared" si="702"/>
        <v>251437.89635668715</v>
      </c>
      <c r="R479" s="69">
        <f t="shared" si="649"/>
        <v>5394</v>
      </c>
      <c r="S479" s="70">
        <f t="shared" si="725"/>
        <v>0</v>
      </c>
      <c r="T479" s="69"/>
      <c r="U479" s="68">
        <f t="shared" si="726"/>
        <v>0</v>
      </c>
      <c r="V479" s="62">
        <f t="shared" si="694"/>
        <v>251437.89635668715</v>
      </c>
      <c r="W479" s="69">
        <f t="shared" si="651"/>
        <v>5394</v>
      </c>
      <c r="X479" s="70">
        <f t="shared" si="727"/>
        <v>0</v>
      </c>
      <c r="Y479" s="69"/>
      <c r="Z479" s="68">
        <f t="shared" si="728"/>
        <v>0</v>
      </c>
      <c r="AA479" s="68">
        <f t="shared" si="695"/>
        <v>251437.89635668715</v>
      </c>
      <c r="AB479" s="69">
        <f t="shared" si="646"/>
        <v>5394</v>
      </c>
      <c r="AC479" s="70">
        <f t="shared" si="729"/>
        <v>0</v>
      </c>
      <c r="AD479" s="69"/>
      <c r="AE479" s="68">
        <f t="shared" si="730"/>
        <v>0</v>
      </c>
      <c r="AF479" s="68">
        <f t="shared" si="731"/>
        <v>251437.89635668715</v>
      </c>
      <c r="AG479" s="69">
        <f t="shared" si="732"/>
        <v>5394</v>
      </c>
      <c r="AH479" s="70">
        <f t="shared" si="733"/>
        <v>0</v>
      </c>
    </row>
    <row r="480" spans="1:34" ht="15" customHeight="1" outlineLevel="1" x14ac:dyDescent="0.25">
      <c r="A480" s="67"/>
      <c r="B480" s="66">
        <v>3260</v>
      </c>
      <c r="C480" s="67" t="s">
        <v>85</v>
      </c>
      <c r="D480" s="68"/>
      <c r="E480" s="68">
        <v>23891.62</v>
      </c>
      <c r="F480" s="68">
        <f t="shared" si="721"/>
        <v>31842.095204206824</v>
      </c>
      <c r="G480" s="69">
        <v>26</v>
      </c>
      <c r="H480" s="67" t="s">
        <v>39</v>
      </c>
      <c r="I480" s="68">
        <f t="shared" si="645"/>
        <v>1224.6959693925701</v>
      </c>
      <c r="J480" s="69"/>
      <c r="K480" s="68">
        <f t="shared" si="722"/>
        <v>0</v>
      </c>
      <c r="L480" s="62">
        <f t="shared" si="701"/>
        <v>31842.095204206824</v>
      </c>
      <c r="M480" s="69">
        <f t="shared" si="647"/>
        <v>26</v>
      </c>
      <c r="N480" s="70">
        <f t="shared" si="723"/>
        <v>0</v>
      </c>
      <c r="O480" s="69"/>
      <c r="P480" s="68">
        <f t="shared" si="724"/>
        <v>0</v>
      </c>
      <c r="Q480" s="62">
        <f t="shared" si="702"/>
        <v>31842.095204206824</v>
      </c>
      <c r="R480" s="69">
        <f t="shared" si="649"/>
        <v>26</v>
      </c>
      <c r="S480" s="70">
        <f t="shared" si="725"/>
        <v>0</v>
      </c>
      <c r="T480" s="69"/>
      <c r="U480" s="68">
        <f t="shared" si="726"/>
        <v>0</v>
      </c>
      <c r="V480" s="62">
        <f t="shared" si="694"/>
        <v>31842.095204206824</v>
      </c>
      <c r="W480" s="69">
        <f t="shared" si="651"/>
        <v>26</v>
      </c>
      <c r="X480" s="70">
        <f t="shared" si="727"/>
        <v>0</v>
      </c>
      <c r="Y480" s="69"/>
      <c r="Z480" s="68">
        <f t="shared" si="728"/>
        <v>0</v>
      </c>
      <c r="AA480" s="68">
        <f t="shared" si="695"/>
        <v>31842.095204206824</v>
      </c>
      <c r="AB480" s="69">
        <f t="shared" si="646"/>
        <v>26</v>
      </c>
      <c r="AC480" s="70">
        <f t="shared" si="729"/>
        <v>0</v>
      </c>
      <c r="AD480" s="69"/>
      <c r="AE480" s="68">
        <f t="shared" si="730"/>
        <v>0</v>
      </c>
      <c r="AF480" s="68">
        <f t="shared" si="731"/>
        <v>31842.095204206824</v>
      </c>
      <c r="AG480" s="69">
        <f t="shared" si="732"/>
        <v>26</v>
      </c>
      <c r="AH480" s="70">
        <f t="shared" si="733"/>
        <v>0</v>
      </c>
    </row>
    <row r="481" spans="1:34" ht="15" customHeight="1" outlineLevel="1" x14ac:dyDescent="0.25">
      <c r="A481" s="79"/>
      <c r="B481" s="80"/>
      <c r="C481" s="92" t="s">
        <v>262</v>
      </c>
      <c r="D481" s="81"/>
      <c r="E481" s="81">
        <v>86886.38</v>
      </c>
      <c r="F481" s="81">
        <f t="shared" si="721"/>
        <v>115799.78184438276</v>
      </c>
      <c r="G481" s="82"/>
      <c r="H481" s="79"/>
      <c r="I481" s="81"/>
      <c r="J481" s="82"/>
      <c r="K481" s="81">
        <f>SUM(K482,K485)</f>
        <v>0</v>
      </c>
      <c r="L481" s="62">
        <f t="shared" si="701"/>
        <v>0</v>
      </c>
      <c r="M481" s="69">
        <f t="shared" si="647"/>
        <v>0</v>
      </c>
      <c r="N481" s="83"/>
      <c r="O481" s="82"/>
      <c r="P481" s="81">
        <f>SUM(P482,P485)</f>
        <v>115799.78184438276</v>
      </c>
      <c r="Q481" s="62">
        <f t="shared" si="702"/>
        <v>0</v>
      </c>
      <c r="R481" s="69">
        <f t="shared" si="649"/>
        <v>0</v>
      </c>
      <c r="S481" s="83"/>
      <c r="T481" s="82"/>
      <c r="U481" s="81">
        <f>SUM(U482,U485)</f>
        <v>0</v>
      </c>
      <c r="V481" s="62">
        <f t="shared" si="694"/>
        <v>115799.78184438276</v>
      </c>
      <c r="W481" s="69">
        <f t="shared" si="651"/>
        <v>0</v>
      </c>
      <c r="X481" s="83"/>
      <c r="Y481" s="82"/>
      <c r="Z481" s="81">
        <f>SUM(Z482,Z485)</f>
        <v>0</v>
      </c>
      <c r="AA481" s="68">
        <f t="shared" si="695"/>
        <v>115799.78184438276</v>
      </c>
      <c r="AB481" s="69">
        <f t="shared" si="646"/>
        <v>0</v>
      </c>
      <c r="AC481" s="83"/>
      <c r="AD481" s="82"/>
      <c r="AE481" s="81">
        <f>SUM(AE482,AE485)</f>
        <v>0</v>
      </c>
      <c r="AF481" s="81">
        <f>SUM(AF482,AF485)</f>
        <v>115799.78184438276</v>
      </c>
      <c r="AG481" s="82"/>
      <c r="AH481" s="83"/>
    </row>
    <row r="482" spans="1:34" ht="15" customHeight="1" outlineLevel="1" x14ac:dyDescent="0.25">
      <c r="A482" s="67"/>
      <c r="B482" s="66">
        <v>3110</v>
      </c>
      <c r="C482" s="93" t="s">
        <v>74</v>
      </c>
      <c r="D482" s="68"/>
      <c r="E482" s="68">
        <v>14805.47</v>
      </c>
      <c r="F482" s="68">
        <f t="shared" si="721"/>
        <v>19732.323939650305</v>
      </c>
      <c r="G482" s="69">
        <v>29</v>
      </c>
      <c r="H482" s="67" t="s">
        <v>42</v>
      </c>
      <c r="I482" s="68">
        <f t="shared" si="645"/>
        <v>680.42496343621747</v>
      </c>
      <c r="J482" s="69"/>
      <c r="K482" s="73">
        <f>+J482*D482</f>
        <v>0</v>
      </c>
      <c r="L482" s="62">
        <f t="shared" si="701"/>
        <v>0</v>
      </c>
      <c r="M482" s="69">
        <f t="shared" si="647"/>
        <v>0</v>
      </c>
      <c r="N482" s="70">
        <f t="shared" ref="N482:N483" si="734">100%-(L482/$F482)</f>
        <v>1</v>
      </c>
      <c r="O482" s="69">
        <v>29</v>
      </c>
      <c r="P482" s="73">
        <f>+O482*I482</f>
        <v>19732.323939650305</v>
      </c>
      <c r="Q482" s="62">
        <f t="shared" si="702"/>
        <v>0</v>
      </c>
      <c r="R482" s="69">
        <f t="shared" si="649"/>
        <v>0</v>
      </c>
      <c r="S482" s="70">
        <f t="shared" ref="S482:S483" si="735">100%-(Q482/$F482)</f>
        <v>1</v>
      </c>
      <c r="T482" s="69"/>
      <c r="U482" s="73">
        <f t="shared" ref="U482:U488" si="736">+T482*D482</f>
        <v>0</v>
      </c>
      <c r="V482" s="62">
        <f t="shared" si="694"/>
        <v>19732.323939650305</v>
      </c>
      <c r="W482" s="69">
        <f t="shared" si="651"/>
        <v>29</v>
      </c>
      <c r="X482" s="70">
        <f t="shared" ref="X482:X483" si="737">100%-(V482/$F482)</f>
        <v>0</v>
      </c>
      <c r="Y482" s="69"/>
      <c r="Z482" s="73">
        <f t="shared" ref="Z482:Z488" si="738">+Y482*I482</f>
        <v>0</v>
      </c>
      <c r="AA482" s="68">
        <f t="shared" si="695"/>
        <v>19732.323939650305</v>
      </c>
      <c r="AB482" s="69">
        <f t="shared" si="646"/>
        <v>29</v>
      </c>
      <c r="AC482" s="70">
        <f t="shared" ref="AC482:AC483" si="739">100%-(AA482/$F482)</f>
        <v>0</v>
      </c>
      <c r="AD482" s="69"/>
      <c r="AE482" s="68">
        <f>AD482*I482</f>
        <v>0</v>
      </c>
      <c r="AF482" s="68">
        <f>F482-AE482</f>
        <v>19732.323939650305</v>
      </c>
      <c r="AG482" s="69">
        <f>G482-AD482</f>
        <v>29</v>
      </c>
      <c r="AH482" s="70">
        <f t="shared" ref="AH482" si="740">100%-(AF482/$F482)</f>
        <v>0</v>
      </c>
    </row>
    <row r="483" spans="1:34" ht="15" customHeight="1" outlineLevel="2" x14ac:dyDescent="0.25">
      <c r="C483" s="93" t="s">
        <v>263</v>
      </c>
      <c r="E483" s="73">
        <v>10655.48</v>
      </c>
      <c r="F483" s="74">
        <f t="shared" si="721"/>
        <v>14201.331203431233</v>
      </c>
      <c r="G483" s="75">
        <v>230</v>
      </c>
      <c r="H483" s="56" t="s">
        <v>40</v>
      </c>
      <c r="I483" s="73">
        <f t="shared" si="645"/>
        <v>61.744918275787967</v>
      </c>
      <c r="K483" s="73">
        <f t="shared" ref="K483:K488" si="741">+J483*D483</f>
        <v>0</v>
      </c>
      <c r="L483" s="62">
        <f t="shared" si="701"/>
        <v>-14201.331203431233</v>
      </c>
      <c r="M483" s="69">
        <f t="shared" si="647"/>
        <v>-230</v>
      </c>
      <c r="N483" s="76">
        <f t="shared" si="734"/>
        <v>2</v>
      </c>
      <c r="O483" s="75">
        <v>230</v>
      </c>
      <c r="P483" s="73">
        <f t="shared" ref="P483:P499" si="742">+O483*I483</f>
        <v>14201.331203431233</v>
      </c>
      <c r="Q483" s="62">
        <f t="shared" si="702"/>
        <v>-14201.331203431233</v>
      </c>
      <c r="R483" s="69">
        <f t="shared" si="649"/>
        <v>-230</v>
      </c>
      <c r="S483" s="76">
        <f t="shared" si="735"/>
        <v>2</v>
      </c>
      <c r="U483" s="73">
        <f t="shared" si="736"/>
        <v>0</v>
      </c>
      <c r="V483" s="62">
        <f t="shared" si="694"/>
        <v>0</v>
      </c>
      <c r="W483" s="69">
        <f t="shared" si="651"/>
        <v>0</v>
      </c>
      <c r="X483" s="76">
        <f t="shared" si="737"/>
        <v>1</v>
      </c>
      <c r="Z483" s="73">
        <f t="shared" si="738"/>
        <v>0</v>
      </c>
      <c r="AA483" s="68">
        <f t="shared" si="695"/>
        <v>0</v>
      </c>
      <c r="AB483" s="69">
        <f t="shared" si="646"/>
        <v>0</v>
      </c>
      <c r="AC483" s="76">
        <f t="shared" si="739"/>
        <v>1</v>
      </c>
    </row>
    <row r="484" spans="1:34" ht="15" customHeight="1" outlineLevel="2" x14ac:dyDescent="0.25">
      <c r="C484" s="93" t="s">
        <v>264</v>
      </c>
      <c r="E484" s="73">
        <v>4149.9799999999996</v>
      </c>
      <c r="F484" s="74">
        <f t="shared" si="721"/>
        <v>5530.9794084936148</v>
      </c>
      <c r="G484" s="75">
        <v>175</v>
      </c>
      <c r="H484" s="56" t="s">
        <v>40</v>
      </c>
      <c r="I484" s="73">
        <f t="shared" si="645"/>
        <v>31.605596619963514</v>
      </c>
      <c r="K484" s="73">
        <f t="shared" si="741"/>
        <v>0</v>
      </c>
      <c r="L484" s="62">
        <f t="shared" si="701"/>
        <v>-5530.9794084936148</v>
      </c>
      <c r="M484" s="69">
        <f t="shared" si="647"/>
        <v>-175</v>
      </c>
      <c r="O484" s="75">
        <v>175</v>
      </c>
      <c r="P484" s="73">
        <f t="shared" si="742"/>
        <v>5530.9794084936148</v>
      </c>
      <c r="Q484" s="62">
        <f t="shared" si="702"/>
        <v>-5530.9794084936148</v>
      </c>
      <c r="R484" s="69">
        <f t="shared" si="649"/>
        <v>-175</v>
      </c>
      <c r="U484" s="73">
        <f t="shared" si="736"/>
        <v>0</v>
      </c>
      <c r="V484" s="62">
        <f t="shared" si="694"/>
        <v>0</v>
      </c>
      <c r="W484" s="69">
        <f t="shared" si="651"/>
        <v>0</v>
      </c>
      <c r="Z484" s="73">
        <f t="shared" si="738"/>
        <v>0</v>
      </c>
      <c r="AA484" s="68">
        <f t="shared" si="695"/>
        <v>0</v>
      </c>
      <c r="AB484" s="69">
        <f t="shared" si="646"/>
        <v>0</v>
      </c>
    </row>
    <row r="485" spans="1:34" ht="15" customHeight="1" outlineLevel="1" x14ac:dyDescent="0.25">
      <c r="A485" s="67"/>
      <c r="B485" s="66">
        <v>3120</v>
      </c>
      <c r="C485" s="93" t="s">
        <v>75</v>
      </c>
      <c r="D485" s="68"/>
      <c r="E485" s="68">
        <v>72080.91</v>
      </c>
      <c r="F485" s="68">
        <f t="shared" si="721"/>
        <v>96067.457904732451</v>
      </c>
      <c r="G485" s="69">
        <v>85</v>
      </c>
      <c r="H485" s="67" t="s">
        <v>42</v>
      </c>
      <c r="I485" s="68">
        <f t="shared" si="645"/>
        <v>1130.2053871144994</v>
      </c>
      <c r="J485" s="69"/>
      <c r="K485" s="73">
        <f t="shared" si="741"/>
        <v>0</v>
      </c>
      <c r="L485" s="62">
        <f t="shared" si="701"/>
        <v>0</v>
      </c>
      <c r="M485" s="69">
        <f t="shared" si="647"/>
        <v>0</v>
      </c>
      <c r="N485" s="70">
        <f t="shared" ref="N485" si="743">100%-(L485/$F485)</f>
        <v>1</v>
      </c>
      <c r="O485" s="69">
        <v>85</v>
      </c>
      <c r="P485" s="73">
        <f t="shared" si="742"/>
        <v>96067.457904732451</v>
      </c>
      <c r="Q485" s="62">
        <f t="shared" si="702"/>
        <v>0</v>
      </c>
      <c r="R485" s="69">
        <f t="shared" si="649"/>
        <v>0</v>
      </c>
      <c r="S485" s="70">
        <f t="shared" ref="S485" si="744">100%-(Q485/$F485)</f>
        <v>1</v>
      </c>
      <c r="T485" s="69"/>
      <c r="U485" s="73">
        <f t="shared" si="736"/>
        <v>0</v>
      </c>
      <c r="V485" s="62">
        <f t="shared" si="694"/>
        <v>96067.457904732451</v>
      </c>
      <c r="W485" s="69">
        <f t="shared" si="651"/>
        <v>85</v>
      </c>
      <c r="X485" s="70">
        <f t="shared" ref="X485" si="745">100%-(V485/$F485)</f>
        <v>0</v>
      </c>
      <c r="Y485" s="69"/>
      <c r="Z485" s="73">
        <f t="shared" si="738"/>
        <v>0</v>
      </c>
      <c r="AA485" s="68">
        <f t="shared" si="695"/>
        <v>96067.457904732451</v>
      </c>
      <c r="AB485" s="69">
        <f t="shared" si="646"/>
        <v>85</v>
      </c>
      <c r="AC485" s="70">
        <f t="shared" ref="AC485" si="746">100%-(AA485/$F485)</f>
        <v>0</v>
      </c>
      <c r="AD485" s="69"/>
      <c r="AE485" s="68">
        <f>AD485*I485</f>
        <v>0</v>
      </c>
      <c r="AF485" s="68">
        <f>F485-AE485</f>
        <v>96067.457904732451</v>
      </c>
      <c r="AG485" s="69">
        <f>G485-AD485</f>
        <v>85</v>
      </c>
      <c r="AH485" s="70">
        <f t="shared" ref="AH485" si="747">100%-(AF485/$F485)</f>
        <v>0</v>
      </c>
    </row>
    <row r="486" spans="1:34" ht="15" customHeight="1" outlineLevel="2" x14ac:dyDescent="0.25">
      <c r="C486" s="93" t="s">
        <v>265</v>
      </c>
      <c r="E486" s="73">
        <v>39236.31</v>
      </c>
      <c r="F486" s="74">
        <f t="shared" si="721"/>
        <v>52293.076755857168</v>
      </c>
      <c r="G486" s="75">
        <v>228</v>
      </c>
      <c r="H486" s="56" t="s">
        <v>40</v>
      </c>
      <c r="I486" s="73">
        <f t="shared" si="645"/>
        <v>229.3555998063911</v>
      </c>
      <c r="K486" s="73">
        <f t="shared" si="741"/>
        <v>0</v>
      </c>
      <c r="L486" s="62">
        <f t="shared" si="701"/>
        <v>-52293.076755857168</v>
      </c>
      <c r="M486" s="69">
        <f t="shared" si="647"/>
        <v>-228</v>
      </c>
      <c r="O486" s="75">
        <v>228</v>
      </c>
      <c r="P486" s="73">
        <f t="shared" si="742"/>
        <v>52293.076755857168</v>
      </c>
      <c r="Q486" s="62">
        <f t="shared" si="702"/>
        <v>-52293.076755857168</v>
      </c>
      <c r="R486" s="69">
        <f t="shared" si="649"/>
        <v>-228</v>
      </c>
      <c r="U486" s="73">
        <f t="shared" si="736"/>
        <v>0</v>
      </c>
      <c r="V486" s="62">
        <f t="shared" si="694"/>
        <v>0</v>
      </c>
      <c r="W486" s="69">
        <f t="shared" si="651"/>
        <v>0</v>
      </c>
      <c r="Z486" s="73">
        <f t="shared" si="738"/>
        <v>0</v>
      </c>
      <c r="AA486" s="68">
        <f t="shared" si="695"/>
        <v>0</v>
      </c>
      <c r="AB486" s="69">
        <f t="shared" si="646"/>
        <v>0</v>
      </c>
    </row>
    <row r="487" spans="1:34" ht="15" customHeight="1" outlineLevel="2" x14ac:dyDescent="0.25">
      <c r="C487" s="93" t="s">
        <v>266</v>
      </c>
      <c r="E487" s="73">
        <v>32844.6</v>
      </c>
      <c r="F487" s="74">
        <f t="shared" si="721"/>
        <v>43774.381148875276</v>
      </c>
      <c r="G487" s="75">
        <v>175</v>
      </c>
      <c r="H487" s="56" t="s">
        <v>40</v>
      </c>
      <c r="I487" s="73">
        <f t="shared" si="645"/>
        <v>250.13932085071588</v>
      </c>
      <c r="K487" s="73">
        <f t="shared" si="741"/>
        <v>0</v>
      </c>
      <c r="L487" s="62">
        <f t="shared" si="701"/>
        <v>-43774.381148875276</v>
      </c>
      <c r="M487" s="69">
        <f t="shared" si="647"/>
        <v>-175</v>
      </c>
      <c r="O487" s="75">
        <v>175</v>
      </c>
      <c r="P487" s="73">
        <f t="shared" si="742"/>
        <v>43774.381148875276</v>
      </c>
      <c r="Q487" s="62">
        <f t="shared" si="702"/>
        <v>-43774.381148875276</v>
      </c>
      <c r="R487" s="69">
        <f t="shared" si="649"/>
        <v>-175</v>
      </c>
      <c r="U487" s="73">
        <f t="shared" si="736"/>
        <v>0</v>
      </c>
      <c r="V487" s="62">
        <f t="shared" si="694"/>
        <v>0</v>
      </c>
      <c r="W487" s="69">
        <f t="shared" si="651"/>
        <v>0</v>
      </c>
      <c r="Z487" s="73">
        <f t="shared" si="738"/>
        <v>0</v>
      </c>
      <c r="AA487" s="68">
        <f t="shared" si="695"/>
        <v>0</v>
      </c>
      <c r="AB487" s="69">
        <f t="shared" si="646"/>
        <v>0</v>
      </c>
    </row>
    <row r="488" spans="1:34" ht="15" customHeight="1" outlineLevel="1" x14ac:dyDescent="0.25">
      <c r="A488" s="67"/>
      <c r="B488" s="66">
        <v>2100</v>
      </c>
      <c r="C488" s="67" t="s">
        <v>122</v>
      </c>
      <c r="D488" s="68"/>
      <c r="E488" s="68">
        <v>7721.43</v>
      </c>
      <c r="F488" s="68">
        <f t="shared" si="721"/>
        <v>10290.909916222454</v>
      </c>
      <c r="G488" s="69">
        <v>1</v>
      </c>
      <c r="H488" s="67" t="s">
        <v>34</v>
      </c>
      <c r="I488" s="68">
        <f t="shared" si="645"/>
        <v>10290.909916222454</v>
      </c>
      <c r="J488" s="69"/>
      <c r="K488" s="73">
        <f t="shared" si="741"/>
        <v>0</v>
      </c>
      <c r="L488" s="62">
        <f t="shared" si="701"/>
        <v>0</v>
      </c>
      <c r="M488" s="69">
        <f t="shared" si="647"/>
        <v>0</v>
      </c>
      <c r="N488" s="70">
        <f t="shared" ref="N488" si="748">100%-(L488/$F488)</f>
        <v>1</v>
      </c>
      <c r="O488" s="69">
        <v>1</v>
      </c>
      <c r="P488" s="73">
        <f t="shared" si="742"/>
        <v>10290.909916222454</v>
      </c>
      <c r="Q488" s="62">
        <f t="shared" si="702"/>
        <v>0</v>
      </c>
      <c r="R488" s="69">
        <f t="shared" si="649"/>
        <v>0</v>
      </c>
      <c r="S488" s="70">
        <f t="shared" ref="S488" si="749">100%-(Q488/$F488)</f>
        <v>1</v>
      </c>
      <c r="T488" s="69"/>
      <c r="U488" s="73">
        <f t="shared" si="736"/>
        <v>0</v>
      </c>
      <c r="V488" s="62">
        <f t="shared" si="694"/>
        <v>10290.909916222454</v>
      </c>
      <c r="W488" s="69">
        <f t="shared" si="651"/>
        <v>1</v>
      </c>
      <c r="X488" s="70">
        <f t="shared" ref="X488" si="750">100%-(V488/$F488)</f>
        <v>0</v>
      </c>
      <c r="Y488" s="69"/>
      <c r="Z488" s="73">
        <f t="shared" si="738"/>
        <v>0</v>
      </c>
      <c r="AA488" s="68">
        <f t="shared" si="695"/>
        <v>10290.909916222454</v>
      </c>
      <c r="AB488" s="69">
        <f t="shared" si="646"/>
        <v>1</v>
      </c>
      <c r="AC488" s="70">
        <f t="shared" ref="AC488" si="751">100%-(AA488/$F488)</f>
        <v>0</v>
      </c>
      <c r="AD488" s="69"/>
      <c r="AE488" s="68">
        <f>AD488*I488</f>
        <v>0</v>
      </c>
      <c r="AF488" s="68">
        <f>F488-AE488</f>
        <v>10290.909916222454</v>
      </c>
      <c r="AG488" s="69">
        <f>G488-AD488</f>
        <v>1</v>
      </c>
      <c r="AH488" s="70">
        <f t="shared" ref="AH488" si="752">100%-(AF488/$F488)</f>
        <v>0</v>
      </c>
    </row>
    <row r="489" spans="1:34" ht="15" customHeight="1" x14ac:dyDescent="0.25">
      <c r="A489" s="60">
        <v>9</v>
      </c>
      <c r="B489" s="60"/>
      <c r="C489" s="61" t="s">
        <v>89</v>
      </c>
      <c r="D489" s="62">
        <f>_xlfn.XLOOKUP(A489,SOV!$A$9:$A$27,SOV!$C$9:$C$27)</f>
        <v>130300</v>
      </c>
      <c r="E489" s="62">
        <v>100088.95</v>
      </c>
      <c r="F489" s="62"/>
      <c r="G489" s="63"/>
      <c r="H489" s="64"/>
      <c r="I489" s="62"/>
      <c r="J489" s="63"/>
      <c r="K489" s="62">
        <f>SUM(K490,K495,K499)</f>
        <v>0</v>
      </c>
      <c r="L489" s="62">
        <f t="shared" si="701"/>
        <v>130300</v>
      </c>
      <c r="M489" s="69">
        <f t="shared" si="647"/>
        <v>0</v>
      </c>
      <c r="N489" s="65"/>
      <c r="O489" s="63"/>
      <c r="P489" s="62">
        <f>SUM(P490,P495,P499)</f>
        <v>0</v>
      </c>
      <c r="Q489" s="62">
        <f t="shared" si="702"/>
        <v>130300</v>
      </c>
      <c r="R489" s="69">
        <f t="shared" si="649"/>
        <v>0</v>
      </c>
      <c r="S489" s="65"/>
      <c r="T489" s="63"/>
      <c r="U489" s="62">
        <f>SUM(U490,U495,U499)</f>
        <v>0</v>
      </c>
      <c r="V489" s="62">
        <f t="shared" si="694"/>
        <v>130300</v>
      </c>
      <c r="W489" s="69">
        <f t="shared" si="651"/>
        <v>0</v>
      </c>
      <c r="X489" s="65"/>
      <c r="Y489" s="63"/>
      <c r="Z489" s="62">
        <f>SUM(Z490,Z495,Z499)</f>
        <v>0</v>
      </c>
      <c r="AA489" s="68">
        <f t="shared" si="695"/>
        <v>130300</v>
      </c>
      <c r="AB489" s="69">
        <f t="shared" si="646"/>
        <v>0</v>
      </c>
      <c r="AC489" s="65"/>
      <c r="AD489" s="63"/>
      <c r="AE489" s="62">
        <f>SUM(AE490,AE495,AE499)</f>
        <v>0</v>
      </c>
      <c r="AF489" s="62">
        <f>SUM(AF490,AF495,AF499)</f>
        <v>130300</v>
      </c>
      <c r="AG489" s="63"/>
      <c r="AH489" s="65"/>
    </row>
    <row r="490" spans="1:34" ht="15" customHeight="1" outlineLevel="1" x14ac:dyDescent="0.25">
      <c r="A490" s="67"/>
      <c r="B490" s="66"/>
      <c r="C490" s="67" t="s">
        <v>344</v>
      </c>
      <c r="D490" s="68"/>
      <c r="E490" s="68">
        <v>30364.86</v>
      </c>
      <c r="F490" s="68">
        <f t="shared" ref="F490:F503" si="753">$D$489/$E$489*E490</f>
        <v>39530.25042224941</v>
      </c>
      <c r="G490" s="69">
        <v>35580</v>
      </c>
      <c r="H490" s="67" t="s">
        <v>41</v>
      </c>
      <c r="I490" s="68">
        <f t="shared" si="645"/>
        <v>1.1110244638068973</v>
      </c>
      <c r="J490" s="69"/>
      <c r="K490" s="73">
        <f t="shared" ref="K490:K499" si="754">+J490*D490</f>
        <v>0</v>
      </c>
      <c r="L490" s="62">
        <f t="shared" si="701"/>
        <v>39530.25042224941</v>
      </c>
      <c r="M490" s="69">
        <f t="shared" si="647"/>
        <v>35580</v>
      </c>
      <c r="N490" s="70">
        <f t="shared" ref="N490" si="755">100%-(L490/$F490)</f>
        <v>0</v>
      </c>
      <c r="O490" s="69"/>
      <c r="P490" s="73">
        <f t="shared" si="742"/>
        <v>0</v>
      </c>
      <c r="Q490" s="62">
        <f t="shared" si="702"/>
        <v>39530.25042224941</v>
      </c>
      <c r="R490" s="69">
        <f t="shared" si="649"/>
        <v>35580</v>
      </c>
      <c r="S490" s="70">
        <f t="shared" ref="S490" si="756">100%-(Q490/$F490)</f>
        <v>0</v>
      </c>
      <c r="T490" s="69"/>
      <c r="U490" s="68">
        <f>T490*$I490</f>
        <v>0</v>
      </c>
      <c r="V490" s="62">
        <f t="shared" si="694"/>
        <v>39530.25042224941</v>
      </c>
      <c r="W490" s="69">
        <f t="shared" si="651"/>
        <v>35580</v>
      </c>
      <c r="X490" s="70">
        <f t="shared" ref="X490" si="757">100%-(V490/$F490)</f>
        <v>0</v>
      </c>
      <c r="Y490" s="69"/>
      <c r="Z490" s="68">
        <f>Y490*D490</f>
        <v>0</v>
      </c>
      <c r="AA490" s="68">
        <f t="shared" si="695"/>
        <v>39530.25042224941</v>
      </c>
      <c r="AB490" s="69">
        <f t="shared" si="646"/>
        <v>35580</v>
      </c>
      <c r="AC490" s="70">
        <f t="shared" ref="AC490" si="758">100%-(AA490/$F490)</f>
        <v>0</v>
      </c>
      <c r="AD490" s="69"/>
      <c r="AE490" s="68">
        <f>AD490*I490</f>
        <v>0</v>
      </c>
      <c r="AF490" s="68">
        <f>F490-AE490</f>
        <v>39530.25042224941</v>
      </c>
      <c r="AG490" s="69">
        <f>G490-AD490</f>
        <v>35580</v>
      </c>
      <c r="AH490" s="70">
        <f t="shared" ref="AH490" si="759">100%-(AF490/$F490)</f>
        <v>0</v>
      </c>
    </row>
    <row r="491" spans="1:34" ht="15" customHeight="1" outlineLevel="2" x14ac:dyDescent="0.25">
      <c r="B491" s="71">
        <v>2157</v>
      </c>
      <c r="C491" s="56" t="s">
        <v>86</v>
      </c>
      <c r="E491" s="73">
        <v>5908.09</v>
      </c>
      <c r="F491" s="74">
        <f t="shared" si="753"/>
        <v>7691.3997699046704</v>
      </c>
      <c r="G491" s="75">
        <v>35580</v>
      </c>
      <c r="H491" s="56" t="s">
        <v>41</v>
      </c>
      <c r="I491" s="73">
        <f t="shared" si="645"/>
        <v>0.21617200027837746</v>
      </c>
      <c r="K491" s="73">
        <f t="shared" si="754"/>
        <v>0</v>
      </c>
      <c r="L491" s="62">
        <f t="shared" si="701"/>
        <v>0</v>
      </c>
      <c r="M491" s="69">
        <f t="shared" si="647"/>
        <v>0</v>
      </c>
      <c r="P491" s="73">
        <f t="shared" si="742"/>
        <v>0</v>
      </c>
      <c r="Q491" s="62">
        <f t="shared" si="702"/>
        <v>0</v>
      </c>
      <c r="R491" s="69">
        <f t="shared" si="649"/>
        <v>0</v>
      </c>
      <c r="V491" s="62">
        <f t="shared" si="694"/>
        <v>0</v>
      </c>
      <c r="W491" s="69">
        <f t="shared" si="651"/>
        <v>0</v>
      </c>
      <c r="Y491" s="75">
        <f>$AD$490*B491/$G$490</f>
        <v>0</v>
      </c>
      <c r="AA491" s="68">
        <f t="shared" si="695"/>
        <v>0</v>
      </c>
      <c r="AB491" s="69">
        <f t="shared" si="646"/>
        <v>0</v>
      </c>
      <c r="AD491" s="75">
        <f>$AD$490*G491/$G$490</f>
        <v>0</v>
      </c>
    </row>
    <row r="492" spans="1:34" ht="15" customHeight="1" outlineLevel="2" x14ac:dyDescent="0.25">
      <c r="B492" s="71">
        <v>2183</v>
      </c>
      <c r="C492" s="56" t="s">
        <v>80</v>
      </c>
      <c r="E492" s="73">
        <v>13822.83</v>
      </c>
      <c r="F492" s="74">
        <f t="shared" si="753"/>
        <v>17995.140812247508</v>
      </c>
      <c r="G492" s="75">
        <v>1245.3</v>
      </c>
      <c r="H492" s="56" t="s">
        <v>43</v>
      </c>
      <c r="I492" s="73">
        <f t="shared" si="645"/>
        <v>14.450446327991253</v>
      </c>
      <c r="K492" s="73">
        <f t="shared" si="754"/>
        <v>0</v>
      </c>
      <c r="L492" s="62">
        <f t="shared" si="701"/>
        <v>0</v>
      </c>
      <c r="M492" s="69">
        <f t="shared" si="647"/>
        <v>0</v>
      </c>
      <c r="P492" s="73">
        <f t="shared" si="742"/>
        <v>0</v>
      </c>
      <c r="Q492" s="62">
        <f t="shared" si="702"/>
        <v>0</v>
      </c>
      <c r="R492" s="69">
        <f t="shared" si="649"/>
        <v>0</v>
      </c>
      <c r="V492" s="62">
        <f t="shared" si="694"/>
        <v>0</v>
      </c>
      <c r="W492" s="69">
        <f t="shared" si="651"/>
        <v>0</v>
      </c>
      <c r="Y492" s="75">
        <f>$AD$490*B492/$G$490</f>
        <v>0</v>
      </c>
      <c r="AA492" s="68">
        <f t="shared" si="695"/>
        <v>0</v>
      </c>
      <c r="AB492" s="69">
        <f t="shared" si="646"/>
        <v>0</v>
      </c>
      <c r="AD492" s="75">
        <f>$AD$490*G492/$G$490</f>
        <v>0</v>
      </c>
    </row>
    <row r="493" spans="1:34" ht="15" customHeight="1" outlineLevel="2" x14ac:dyDescent="0.25">
      <c r="B493" s="71">
        <v>2149</v>
      </c>
      <c r="C493" s="56" t="s">
        <v>48</v>
      </c>
      <c r="E493" s="73">
        <v>10557.98</v>
      </c>
      <c r="F493" s="74">
        <f t="shared" si="753"/>
        <v>13744.821920901359</v>
      </c>
      <c r="G493" s="75">
        <v>1245.3</v>
      </c>
      <c r="H493" s="56" t="s">
        <v>43</v>
      </c>
      <c r="I493" s="73">
        <f t="shared" si="645"/>
        <v>11.03735800281166</v>
      </c>
      <c r="K493" s="73">
        <f t="shared" si="754"/>
        <v>0</v>
      </c>
      <c r="L493" s="62">
        <f t="shared" si="701"/>
        <v>0</v>
      </c>
      <c r="M493" s="69">
        <f t="shared" si="647"/>
        <v>0</v>
      </c>
      <c r="P493" s="73">
        <f t="shared" si="742"/>
        <v>0</v>
      </c>
      <c r="Q493" s="62">
        <f t="shared" si="702"/>
        <v>0</v>
      </c>
      <c r="R493" s="69">
        <f t="shared" si="649"/>
        <v>0</v>
      </c>
      <c r="V493" s="62">
        <f t="shared" si="694"/>
        <v>0</v>
      </c>
      <c r="W493" s="69">
        <f t="shared" si="651"/>
        <v>0</v>
      </c>
      <c r="Y493" s="75">
        <f>$AD$490*B493/$G$490</f>
        <v>0</v>
      </c>
      <c r="AA493" s="68">
        <f t="shared" si="695"/>
        <v>0</v>
      </c>
      <c r="AB493" s="69">
        <f t="shared" ref="AB493:AB556" si="760">+AG493-Y493</f>
        <v>0</v>
      </c>
      <c r="AD493" s="75">
        <f>$AD$490*G493/$G$490</f>
        <v>0</v>
      </c>
    </row>
    <row r="494" spans="1:34" ht="15" customHeight="1" outlineLevel="2" x14ac:dyDescent="0.25">
      <c r="B494" s="71">
        <v>1410</v>
      </c>
      <c r="C494" s="56" t="s">
        <v>104</v>
      </c>
      <c r="E494" s="73">
        <v>75.959999999999994</v>
      </c>
      <c r="F494" s="74">
        <f t="shared" si="753"/>
        <v>98.887919195875256</v>
      </c>
      <c r="G494" s="75">
        <v>21.7</v>
      </c>
      <c r="H494" s="56" t="s">
        <v>105</v>
      </c>
      <c r="I494" s="73">
        <f t="shared" si="645"/>
        <v>4.5570469675518552</v>
      </c>
      <c r="K494" s="73">
        <f t="shared" si="754"/>
        <v>0</v>
      </c>
      <c r="L494" s="62">
        <f t="shared" si="701"/>
        <v>0</v>
      </c>
      <c r="M494" s="69">
        <f t="shared" ref="M494:M557" si="761">+R494-J494</f>
        <v>0</v>
      </c>
      <c r="P494" s="73">
        <f t="shared" si="742"/>
        <v>0</v>
      </c>
      <c r="Q494" s="62">
        <f t="shared" si="702"/>
        <v>0</v>
      </c>
      <c r="R494" s="69">
        <f t="shared" ref="R494:R557" si="762">+W494-O494</f>
        <v>0</v>
      </c>
      <c r="V494" s="62">
        <f t="shared" si="694"/>
        <v>0</v>
      </c>
      <c r="W494" s="69">
        <f t="shared" ref="W494:W557" si="763">+AB494-T494</f>
        <v>0</v>
      </c>
      <c r="Y494" s="75">
        <f>$AD$490*B494/$G$490</f>
        <v>0</v>
      </c>
      <c r="AA494" s="68">
        <f t="shared" si="695"/>
        <v>0</v>
      </c>
      <c r="AB494" s="69">
        <f t="shared" si="760"/>
        <v>0</v>
      </c>
      <c r="AD494" s="75">
        <f>$AD$490*G494/$G$490</f>
        <v>0</v>
      </c>
    </row>
    <row r="495" spans="1:34" ht="15" customHeight="1" outlineLevel="1" x14ac:dyDescent="0.25">
      <c r="A495" s="67"/>
      <c r="B495" s="66"/>
      <c r="C495" s="67" t="s">
        <v>345</v>
      </c>
      <c r="D495" s="68"/>
      <c r="E495" s="68">
        <v>59547</v>
      </c>
      <c r="F495" s="68">
        <f t="shared" si="753"/>
        <v>77520.786260621171</v>
      </c>
      <c r="G495" s="69">
        <v>57294</v>
      </c>
      <c r="H495" s="67" t="s">
        <v>41</v>
      </c>
      <c r="I495" s="68">
        <f t="shared" si="645"/>
        <v>1.3530349820333922</v>
      </c>
      <c r="J495" s="69"/>
      <c r="K495" s="73">
        <f t="shared" si="754"/>
        <v>0</v>
      </c>
      <c r="L495" s="62">
        <f t="shared" si="701"/>
        <v>77520.786260621171</v>
      </c>
      <c r="M495" s="69">
        <f t="shared" si="761"/>
        <v>57294</v>
      </c>
      <c r="N495" s="70">
        <f t="shared" ref="N495" si="764">100%-(L495/$F495)</f>
        <v>0</v>
      </c>
      <c r="O495" s="69"/>
      <c r="P495" s="73">
        <f t="shared" si="742"/>
        <v>0</v>
      </c>
      <c r="Q495" s="62">
        <f t="shared" si="702"/>
        <v>77520.786260621171</v>
      </c>
      <c r="R495" s="69">
        <f t="shared" si="762"/>
        <v>57294</v>
      </c>
      <c r="S495" s="70">
        <f t="shared" ref="S495" si="765">100%-(Q495/$F495)</f>
        <v>0</v>
      </c>
      <c r="T495" s="69"/>
      <c r="U495" s="68">
        <f>T495*$I495</f>
        <v>0</v>
      </c>
      <c r="V495" s="62">
        <f t="shared" si="694"/>
        <v>77520.786260621171</v>
      </c>
      <c r="W495" s="69">
        <f t="shared" si="763"/>
        <v>57294</v>
      </c>
      <c r="X495" s="70">
        <f t="shared" ref="X495" si="766">100%-(V495/$F495)</f>
        <v>0</v>
      </c>
      <c r="Y495" s="69"/>
      <c r="Z495" s="68">
        <f>Y495*D495</f>
        <v>0</v>
      </c>
      <c r="AA495" s="68">
        <f t="shared" si="695"/>
        <v>77520.786260621171</v>
      </c>
      <c r="AB495" s="69">
        <f t="shared" si="760"/>
        <v>57294</v>
      </c>
      <c r="AC495" s="70">
        <f t="shared" ref="AC495" si="767">100%-(AA495/$F495)</f>
        <v>0</v>
      </c>
      <c r="AD495" s="69"/>
      <c r="AE495" s="68">
        <f>AD495*I495</f>
        <v>0</v>
      </c>
      <c r="AF495" s="68">
        <f>F495-AE495</f>
        <v>77520.786260621171</v>
      </c>
      <c r="AG495" s="69">
        <f>G495-AD495</f>
        <v>57294</v>
      </c>
      <c r="AH495" s="70">
        <f t="shared" ref="AH495" si="768">100%-(AF495/$F495)</f>
        <v>0</v>
      </c>
    </row>
    <row r="496" spans="1:34" ht="15" customHeight="1" outlineLevel="2" x14ac:dyDescent="0.25">
      <c r="B496" s="71">
        <v>2157</v>
      </c>
      <c r="C496" s="56" t="s">
        <v>86</v>
      </c>
      <c r="E496" s="73">
        <v>11416.46</v>
      </c>
      <c r="F496" s="74">
        <f t="shared" si="753"/>
        <v>14862.427250960271</v>
      </c>
      <c r="G496" s="75">
        <v>57294</v>
      </c>
      <c r="H496" s="56" t="s">
        <v>41</v>
      </c>
      <c r="I496" s="73">
        <f t="shared" si="645"/>
        <v>0.25940634710371541</v>
      </c>
      <c r="K496" s="73">
        <f t="shared" si="754"/>
        <v>0</v>
      </c>
      <c r="L496" s="62">
        <f t="shared" si="701"/>
        <v>0</v>
      </c>
      <c r="M496" s="69">
        <f t="shared" si="761"/>
        <v>0</v>
      </c>
      <c r="P496" s="73">
        <f t="shared" si="742"/>
        <v>0</v>
      </c>
      <c r="Q496" s="62">
        <f t="shared" si="702"/>
        <v>0</v>
      </c>
      <c r="R496" s="69">
        <f t="shared" si="762"/>
        <v>0</v>
      </c>
      <c r="V496" s="62">
        <f t="shared" si="694"/>
        <v>0</v>
      </c>
      <c r="W496" s="69">
        <f t="shared" si="763"/>
        <v>0</v>
      </c>
      <c r="Y496" s="75">
        <f>$AD$495*B496/$G$495</f>
        <v>0</v>
      </c>
      <c r="AA496" s="68">
        <f t="shared" si="695"/>
        <v>0</v>
      </c>
      <c r="AB496" s="69">
        <f t="shared" si="760"/>
        <v>0</v>
      </c>
      <c r="AD496" s="75">
        <f>$AD$495*G496/$G$495</f>
        <v>0</v>
      </c>
    </row>
    <row r="497" spans="1:34" ht="15" customHeight="1" outlineLevel="2" x14ac:dyDescent="0.25">
      <c r="B497" s="71">
        <v>2183</v>
      </c>
      <c r="C497" s="56" t="s">
        <v>80</v>
      </c>
      <c r="E497" s="73">
        <v>29821.38</v>
      </c>
      <c r="F497" s="74">
        <f t="shared" si="753"/>
        <v>38822.725325822685</v>
      </c>
      <c r="G497" s="75">
        <v>2673.72</v>
      </c>
      <c r="H497" s="56" t="s">
        <v>43</v>
      </c>
      <c r="I497" s="73">
        <f t="shared" si="645"/>
        <v>14.520116289597523</v>
      </c>
      <c r="K497" s="73">
        <f t="shared" si="754"/>
        <v>0</v>
      </c>
      <c r="L497" s="62">
        <f t="shared" si="701"/>
        <v>0</v>
      </c>
      <c r="M497" s="69">
        <f t="shared" si="761"/>
        <v>0</v>
      </c>
      <c r="P497" s="73">
        <f t="shared" si="742"/>
        <v>0</v>
      </c>
      <c r="Q497" s="62">
        <f t="shared" si="702"/>
        <v>0</v>
      </c>
      <c r="R497" s="69">
        <f t="shared" si="762"/>
        <v>0</v>
      </c>
      <c r="V497" s="62">
        <f t="shared" si="694"/>
        <v>0</v>
      </c>
      <c r="W497" s="69">
        <f t="shared" si="763"/>
        <v>0</v>
      </c>
      <c r="Y497" s="75">
        <f>$AD$495*B497/$G$495</f>
        <v>0</v>
      </c>
      <c r="AA497" s="68">
        <f t="shared" si="695"/>
        <v>0</v>
      </c>
      <c r="AB497" s="69">
        <f t="shared" si="760"/>
        <v>0</v>
      </c>
      <c r="AD497" s="75">
        <f>$AD$495*G497/$G$495</f>
        <v>0</v>
      </c>
    </row>
    <row r="498" spans="1:34" ht="15" customHeight="1" outlineLevel="2" x14ac:dyDescent="0.25">
      <c r="B498" s="71">
        <v>2150</v>
      </c>
      <c r="C498" s="56" t="s">
        <v>48</v>
      </c>
      <c r="E498" s="73">
        <v>18309.169999999998</v>
      </c>
      <c r="F498" s="74">
        <f t="shared" si="753"/>
        <v>23835.646702258338</v>
      </c>
      <c r="G498" s="75">
        <v>2673.72</v>
      </c>
      <c r="H498" s="56" t="s">
        <v>43</v>
      </c>
      <c r="I498" s="73">
        <f t="shared" si="645"/>
        <v>8.9147878993530885</v>
      </c>
      <c r="K498" s="73">
        <f t="shared" si="754"/>
        <v>0</v>
      </c>
      <c r="L498" s="62">
        <f t="shared" si="701"/>
        <v>0</v>
      </c>
      <c r="M498" s="69">
        <f t="shared" si="761"/>
        <v>0</v>
      </c>
      <c r="P498" s="73">
        <f t="shared" si="742"/>
        <v>0</v>
      </c>
      <c r="Q498" s="62">
        <f t="shared" si="702"/>
        <v>0</v>
      </c>
      <c r="R498" s="69">
        <f t="shared" si="762"/>
        <v>0</v>
      </c>
      <c r="V498" s="62">
        <f t="shared" si="694"/>
        <v>0</v>
      </c>
      <c r="W498" s="69">
        <f t="shared" si="763"/>
        <v>0</v>
      </c>
      <c r="Y498" s="75">
        <f>$AD$495*B498/$G$495</f>
        <v>0</v>
      </c>
      <c r="AA498" s="68">
        <f t="shared" si="695"/>
        <v>0</v>
      </c>
      <c r="AB498" s="69">
        <f t="shared" si="760"/>
        <v>0</v>
      </c>
      <c r="AD498" s="75">
        <f>$AD$495*G498/$G$495</f>
        <v>0</v>
      </c>
    </row>
    <row r="499" spans="1:34" ht="15" customHeight="1" outlineLevel="1" x14ac:dyDescent="0.25">
      <c r="A499" s="67"/>
      <c r="B499" s="66"/>
      <c r="C499" s="67" t="s">
        <v>346</v>
      </c>
      <c r="D499" s="68"/>
      <c r="E499" s="68">
        <v>10177.09</v>
      </c>
      <c r="F499" s="68">
        <f t="shared" si="753"/>
        <v>13248.963317129414</v>
      </c>
      <c r="G499" s="69">
        <v>11925</v>
      </c>
      <c r="H499" s="67" t="s">
        <v>41</v>
      </c>
      <c r="I499" s="68">
        <f t="shared" ref="I499:I554" si="769">F499/G499</f>
        <v>1.1110241775370577</v>
      </c>
      <c r="J499" s="69"/>
      <c r="K499" s="73">
        <f t="shared" si="754"/>
        <v>0</v>
      </c>
      <c r="L499" s="62">
        <f t="shared" si="701"/>
        <v>13248.963317129414</v>
      </c>
      <c r="M499" s="69">
        <f t="shared" si="761"/>
        <v>11925</v>
      </c>
      <c r="N499" s="70">
        <f t="shared" ref="N499" si="770">100%-(L499/$F499)</f>
        <v>0</v>
      </c>
      <c r="O499" s="69"/>
      <c r="P499" s="73">
        <f t="shared" si="742"/>
        <v>0</v>
      </c>
      <c r="Q499" s="62">
        <f t="shared" si="702"/>
        <v>13248.963317129414</v>
      </c>
      <c r="R499" s="69">
        <f t="shared" si="762"/>
        <v>11925</v>
      </c>
      <c r="S499" s="70">
        <f t="shared" ref="S499" si="771">100%-(Q499/$F499)</f>
        <v>0</v>
      </c>
      <c r="T499" s="69"/>
      <c r="U499" s="68">
        <f>T499*$I499</f>
        <v>0</v>
      </c>
      <c r="V499" s="62">
        <f t="shared" si="694"/>
        <v>13248.963317129414</v>
      </c>
      <c r="W499" s="69">
        <f t="shared" si="763"/>
        <v>11925</v>
      </c>
      <c r="X499" s="70">
        <f t="shared" ref="X499" si="772">100%-(V499/$F499)</f>
        <v>0</v>
      </c>
      <c r="Y499" s="69"/>
      <c r="Z499" s="68">
        <f>Y499*D499</f>
        <v>0</v>
      </c>
      <c r="AA499" s="68">
        <f t="shared" si="695"/>
        <v>13248.963317129414</v>
      </c>
      <c r="AB499" s="69">
        <f t="shared" si="760"/>
        <v>11925</v>
      </c>
      <c r="AC499" s="70">
        <f t="shared" ref="AC499" si="773">100%-(AA499/$F499)</f>
        <v>0</v>
      </c>
      <c r="AD499" s="69"/>
      <c r="AE499" s="68">
        <f>AD499*I499</f>
        <v>0</v>
      </c>
      <c r="AF499" s="68">
        <f>F499-AE499</f>
        <v>13248.963317129414</v>
      </c>
      <c r="AG499" s="69">
        <f>G499-AD499</f>
        <v>11925</v>
      </c>
      <c r="AH499" s="70">
        <f t="shared" ref="AH499" si="774">100%-(AF499/$F499)</f>
        <v>0</v>
      </c>
    </row>
    <row r="500" spans="1:34" ht="15" customHeight="1" outlineLevel="2" x14ac:dyDescent="0.25">
      <c r="B500" s="71">
        <v>2157</v>
      </c>
      <c r="C500" s="56" t="s">
        <v>86</v>
      </c>
      <c r="E500" s="73">
        <v>1980.16</v>
      </c>
      <c r="F500" s="74">
        <f t="shared" si="753"/>
        <v>2577.8554775527168</v>
      </c>
      <c r="G500" s="75">
        <v>11925</v>
      </c>
      <c r="H500" s="56" t="s">
        <v>41</v>
      </c>
      <c r="I500" s="73">
        <f t="shared" si="769"/>
        <v>0.21617236709037457</v>
      </c>
      <c r="L500" s="62">
        <f t="shared" si="701"/>
        <v>0</v>
      </c>
      <c r="M500" s="69">
        <f t="shared" si="761"/>
        <v>0</v>
      </c>
      <c r="Q500" s="62">
        <f t="shared" si="702"/>
        <v>0</v>
      </c>
      <c r="R500" s="69">
        <f t="shared" si="762"/>
        <v>0</v>
      </c>
      <c r="V500" s="62">
        <f t="shared" si="694"/>
        <v>0</v>
      </c>
      <c r="W500" s="69">
        <f t="shared" si="763"/>
        <v>0</v>
      </c>
      <c r="Y500" s="75">
        <f>$AD$499*B500/$G$499</f>
        <v>0</v>
      </c>
      <c r="AA500" s="68">
        <f t="shared" si="695"/>
        <v>0</v>
      </c>
      <c r="AB500" s="69">
        <f t="shared" si="760"/>
        <v>0</v>
      </c>
      <c r="AD500" s="75">
        <f>$AD$499*G500/$G$499</f>
        <v>0</v>
      </c>
    </row>
    <row r="501" spans="1:34" ht="15" customHeight="1" outlineLevel="2" x14ac:dyDescent="0.25">
      <c r="B501" s="71">
        <v>2183</v>
      </c>
      <c r="C501" s="56" t="s">
        <v>80</v>
      </c>
      <c r="E501" s="73">
        <v>4632.8599999999997</v>
      </c>
      <c r="F501" s="74">
        <f t="shared" si="753"/>
        <v>6031.2517815403198</v>
      </c>
      <c r="G501" s="75">
        <v>417.38</v>
      </c>
      <c r="H501" s="56" t="s">
        <v>43</v>
      </c>
      <c r="I501" s="73">
        <f t="shared" si="769"/>
        <v>14.45026542129551</v>
      </c>
      <c r="L501" s="62">
        <f t="shared" si="701"/>
        <v>0</v>
      </c>
      <c r="M501" s="69">
        <f t="shared" si="761"/>
        <v>0</v>
      </c>
      <c r="Q501" s="62">
        <f t="shared" si="702"/>
        <v>0</v>
      </c>
      <c r="R501" s="69">
        <f t="shared" si="762"/>
        <v>0</v>
      </c>
      <c r="V501" s="62">
        <f t="shared" si="694"/>
        <v>0</v>
      </c>
      <c r="W501" s="69">
        <f t="shared" si="763"/>
        <v>0</v>
      </c>
      <c r="Y501" s="75">
        <f>$AD$499*B501/$G$499</f>
        <v>0</v>
      </c>
      <c r="AA501" s="68">
        <f t="shared" si="695"/>
        <v>0</v>
      </c>
      <c r="AB501" s="69">
        <f t="shared" si="760"/>
        <v>0</v>
      </c>
      <c r="AD501" s="75">
        <f>$AD$499*G501/$G$499</f>
        <v>0</v>
      </c>
    </row>
    <row r="502" spans="1:34" ht="15" customHeight="1" outlineLevel="2" x14ac:dyDescent="0.25">
      <c r="B502" s="71">
        <v>2149</v>
      </c>
      <c r="C502" s="56" t="s">
        <v>48</v>
      </c>
      <c r="E502" s="73">
        <v>3538.61</v>
      </c>
      <c r="F502" s="74">
        <f t="shared" si="753"/>
        <v>4606.7111604228039</v>
      </c>
      <c r="G502" s="75">
        <v>417.38</v>
      </c>
      <c r="H502" s="56" t="s">
        <v>43</v>
      </c>
      <c r="I502" s="73">
        <f t="shared" si="769"/>
        <v>11.037211079646374</v>
      </c>
      <c r="L502" s="62">
        <f t="shared" si="701"/>
        <v>0</v>
      </c>
      <c r="M502" s="69">
        <f t="shared" si="761"/>
        <v>0</v>
      </c>
      <c r="Q502" s="62">
        <f t="shared" si="702"/>
        <v>0</v>
      </c>
      <c r="R502" s="69">
        <f t="shared" si="762"/>
        <v>0</v>
      </c>
      <c r="V502" s="62">
        <f t="shared" si="694"/>
        <v>0</v>
      </c>
      <c r="W502" s="69">
        <f t="shared" si="763"/>
        <v>0</v>
      </c>
      <c r="Y502" s="75">
        <f>$AD$499*B502/$G$499</f>
        <v>0</v>
      </c>
      <c r="AA502" s="68">
        <f t="shared" si="695"/>
        <v>0</v>
      </c>
      <c r="AB502" s="69">
        <f t="shared" si="760"/>
        <v>0</v>
      </c>
      <c r="AD502" s="75">
        <f>$AD$499*G502/$G$499</f>
        <v>0</v>
      </c>
    </row>
    <row r="503" spans="1:34" ht="15" customHeight="1" outlineLevel="2" x14ac:dyDescent="0.25">
      <c r="B503" s="71">
        <v>1410</v>
      </c>
      <c r="C503" s="56" t="s">
        <v>104</v>
      </c>
      <c r="E503" s="73">
        <v>25.46</v>
      </c>
      <c r="F503" s="74">
        <f t="shared" si="753"/>
        <v>33.144897613572731</v>
      </c>
      <c r="G503" s="75">
        <v>7.27</v>
      </c>
      <c r="H503" s="56" t="s">
        <v>105</v>
      </c>
      <c r="I503" s="73">
        <f t="shared" si="769"/>
        <v>4.5591330967775425</v>
      </c>
      <c r="L503" s="62">
        <f t="shared" si="701"/>
        <v>0</v>
      </c>
      <c r="M503" s="69">
        <f t="shared" si="761"/>
        <v>0</v>
      </c>
      <c r="Q503" s="62">
        <f t="shared" si="702"/>
        <v>0</v>
      </c>
      <c r="R503" s="69">
        <f t="shared" si="762"/>
        <v>0</v>
      </c>
      <c r="V503" s="62">
        <f t="shared" si="694"/>
        <v>0</v>
      </c>
      <c r="W503" s="69">
        <f t="shared" si="763"/>
        <v>0</v>
      </c>
      <c r="Y503" s="75">
        <f>$AD$499*B503/$G$499</f>
        <v>0</v>
      </c>
      <c r="AA503" s="68">
        <f t="shared" si="695"/>
        <v>0</v>
      </c>
      <c r="AB503" s="69">
        <f t="shared" si="760"/>
        <v>0</v>
      </c>
      <c r="AD503" s="75">
        <f>$AD$499*G503/$G$499</f>
        <v>0</v>
      </c>
    </row>
    <row r="504" spans="1:34" ht="15" customHeight="1" x14ac:dyDescent="0.25">
      <c r="A504" s="60">
        <v>10</v>
      </c>
      <c r="B504" s="60"/>
      <c r="C504" s="61" t="s">
        <v>90</v>
      </c>
      <c r="D504" s="62">
        <f>_xlfn.XLOOKUP(A504,SOV!$A$9:$A$27,SOV!$C$9:$C$27)</f>
        <v>230200</v>
      </c>
      <c r="E504" s="62">
        <v>194782.17</v>
      </c>
      <c r="F504" s="62"/>
      <c r="G504" s="63"/>
      <c r="H504" s="64"/>
      <c r="I504" s="62"/>
      <c r="J504" s="63"/>
      <c r="K504" s="62">
        <f>K505</f>
        <v>0</v>
      </c>
      <c r="L504" s="62">
        <f t="shared" si="701"/>
        <v>230200</v>
      </c>
      <c r="M504" s="69">
        <f t="shared" si="761"/>
        <v>0</v>
      </c>
      <c r="N504" s="65"/>
      <c r="O504" s="63"/>
      <c r="P504" s="62">
        <f>P505</f>
        <v>0</v>
      </c>
      <c r="Q504" s="62">
        <f t="shared" si="702"/>
        <v>230200</v>
      </c>
      <c r="R504" s="69">
        <f t="shared" si="762"/>
        <v>0</v>
      </c>
      <c r="S504" s="65"/>
      <c r="T504" s="63"/>
      <c r="U504" s="62">
        <f>U505</f>
        <v>0</v>
      </c>
      <c r="V504" s="62">
        <f t="shared" si="694"/>
        <v>230200</v>
      </c>
      <c r="W504" s="69">
        <f t="shared" si="763"/>
        <v>0</v>
      </c>
      <c r="X504" s="65"/>
      <c r="Y504" s="63"/>
      <c r="Z504" s="62">
        <f>Z505</f>
        <v>0</v>
      </c>
      <c r="AA504" s="68">
        <f t="shared" si="695"/>
        <v>230200</v>
      </c>
      <c r="AB504" s="69">
        <f t="shared" si="760"/>
        <v>0</v>
      </c>
      <c r="AC504" s="65"/>
      <c r="AD504" s="63"/>
      <c r="AE504" s="62">
        <f>AE505</f>
        <v>0</v>
      </c>
      <c r="AF504" s="62">
        <f>AF505</f>
        <v>230200</v>
      </c>
      <c r="AG504" s="63"/>
      <c r="AH504" s="65"/>
    </row>
    <row r="505" spans="1:34" ht="15" customHeight="1" outlineLevel="1" x14ac:dyDescent="0.25">
      <c r="A505" s="67"/>
      <c r="B505" s="66">
        <v>7530</v>
      </c>
      <c r="C505" s="67" t="s">
        <v>270</v>
      </c>
      <c r="D505" s="68"/>
      <c r="E505" s="68">
        <v>194782.17</v>
      </c>
      <c r="F505" s="68">
        <f>$D$504/$E$504*E505</f>
        <v>230200</v>
      </c>
      <c r="G505" s="69">
        <v>1</v>
      </c>
      <c r="H505" s="67" t="s">
        <v>34</v>
      </c>
      <c r="I505" s="68">
        <f t="shared" si="769"/>
        <v>230200</v>
      </c>
      <c r="J505" s="69"/>
      <c r="K505" s="73">
        <f t="shared" ref="K505" si="775">+J505*D505</f>
        <v>0</v>
      </c>
      <c r="L505" s="62">
        <f t="shared" si="701"/>
        <v>230200</v>
      </c>
      <c r="M505" s="69">
        <f t="shared" si="761"/>
        <v>1</v>
      </c>
      <c r="N505" s="70">
        <f t="shared" ref="N505" si="776">100%-(L505/$F505)</f>
        <v>0</v>
      </c>
      <c r="O505" s="69"/>
      <c r="P505" s="73">
        <f t="shared" ref="P505" si="777">+O505*I505</f>
        <v>0</v>
      </c>
      <c r="Q505" s="62">
        <f t="shared" si="702"/>
        <v>230200</v>
      </c>
      <c r="R505" s="69">
        <f t="shared" si="762"/>
        <v>1</v>
      </c>
      <c r="S505" s="70">
        <f t="shared" ref="S505" si="778">100%-(Q505/$F505)</f>
        <v>0</v>
      </c>
      <c r="T505" s="69"/>
      <c r="U505" s="68">
        <f>T505*$I505</f>
        <v>0</v>
      </c>
      <c r="V505" s="62">
        <f t="shared" si="694"/>
        <v>230200</v>
      </c>
      <c r="W505" s="69">
        <f t="shared" si="763"/>
        <v>1</v>
      </c>
      <c r="X505" s="70">
        <f t="shared" ref="X505" si="779">100%-(V505/$F505)</f>
        <v>0</v>
      </c>
      <c r="Y505" s="69"/>
      <c r="Z505" s="68">
        <f>Y505*D505</f>
        <v>0</v>
      </c>
      <c r="AA505" s="68">
        <f t="shared" si="695"/>
        <v>230200</v>
      </c>
      <c r="AB505" s="69">
        <f t="shared" si="760"/>
        <v>1</v>
      </c>
      <c r="AC505" s="70">
        <f t="shared" ref="AC505" si="780">100%-(AA505/$F505)</f>
        <v>0</v>
      </c>
      <c r="AD505" s="69"/>
      <c r="AE505" s="68">
        <f>AD505*I505</f>
        <v>0</v>
      </c>
      <c r="AF505" s="68">
        <f>F505-AE505</f>
        <v>230200</v>
      </c>
      <c r="AG505" s="69">
        <f>G505-AD505</f>
        <v>1</v>
      </c>
      <c r="AH505" s="70">
        <f t="shared" ref="AH505" si="781">100%-(AF505/$F505)</f>
        <v>0</v>
      </c>
    </row>
    <row r="506" spans="1:34" ht="15" customHeight="1" x14ac:dyDescent="0.25">
      <c r="A506" s="60">
        <v>11</v>
      </c>
      <c r="B506" s="60"/>
      <c r="C506" s="61" t="s">
        <v>91</v>
      </c>
      <c r="D506" s="62">
        <f>_xlfn.XLOOKUP(A506,SOV!$A$9:$A$27,SOV!$C$9:$C$27)</f>
        <v>2910</v>
      </c>
      <c r="E506" s="62">
        <v>2600</v>
      </c>
      <c r="F506" s="62"/>
      <c r="G506" s="63"/>
      <c r="H506" s="64"/>
      <c r="I506" s="62"/>
      <c r="J506" s="63"/>
      <c r="K506" s="62">
        <f>K507</f>
        <v>0</v>
      </c>
      <c r="L506" s="62">
        <f t="shared" si="701"/>
        <v>2910</v>
      </c>
      <c r="M506" s="69">
        <f t="shared" si="761"/>
        <v>0</v>
      </c>
      <c r="N506" s="65"/>
      <c r="O506" s="63"/>
      <c r="P506" s="62">
        <f>P507</f>
        <v>0</v>
      </c>
      <c r="Q506" s="62">
        <f t="shared" si="702"/>
        <v>2910</v>
      </c>
      <c r="R506" s="69">
        <f t="shared" si="762"/>
        <v>0</v>
      </c>
      <c r="S506" s="65"/>
      <c r="T506" s="63"/>
      <c r="U506" s="62">
        <f>U507</f>
        <v>0</v>
      </c>
      <c r="V506" s="62">
        <f t="shared" si="694"/>
        <v>2910</v>
      </c>
      <c r="W506" s="69">
        <f t="shared" si="763"/>
        <v>0</v>
      </c>
      <c r="X506" s="65"/>
      <c r="Y506" s="63"/>
      <c r="Z506" s="62">
        <f>Z507</f>
        <v>0</v>
      </c>
      <c r="AA506" s="68">
        <f t="shared" si="695"/>
        <v>2910</v>
      </c>
      <c r="AB506" s="69">
        <f t="shared" si="760"/>
        <v>0</v>
      </c>
      <c r="AC506" s="65"/>
      <c r="AD506" s="63"/>
      <c r="AE506" s="62">
        <f>AE507</f>
        <v>0</v>
      </c>
      <c r="AF506" s="62">
        <f>AF507</f>
        <v>2910</v>
      </c>
      <c r="AG506" s="63"/>
      <c r="AH506" s="65"/>
    </row>
    <row r="507" spans="1:34" ht="15" customHeight="1" outlineLevel="1" x14ac:dyDescent="0.25">
      <c r="A507" s="67"/>
      <c r="B507" s="66">
        <v>7525</v>
      </c>
      <c r="C507" s="67" t="s">
        <v>106</v>
      </c>
      <c r="D507" s="68"/>
      <c r="E507" s="68">
        <v>2600</v>
      </c>
      <c r="F507" s="68">
        <f>$D$506/$E$506*E507</f>
        <v>2910</v>
      </c>
      <c r="G507" s="69">
        <v>1</v>
      </c>
      <c r="H507" s="67" t="s">
        <v>34</v>
      </c>
      <c r="I507" s="68">
        <f t="shared" si="769"/>
        <v>2910</v>
      </c>
      <c r="J507" s="69"/>
      <c r="K507" s="73">
        <f t="shared" ref="K507" si="782">+J507*D507</f>
        <v>0</v>
      </c>
      <c r="L507" s="62">
        <f t="shared" si="701"/>
        <v>2910</v>
      </c>
      <c r="M507" s="69">
        <f t="shared" si="761"/>
        <v>1</v>
      </c>
      <c r="N507" s="70">
        <f t="shared" ref="N507" si="783">100%-(L507/$F507)</f>
        <v>0</v>
      </c>
      <c r="O507" s="69"/>
      <c r="P507" s="73">
        <f t="shared" ref="P507" si="784">+O507*I507</f>
        <v>0</v>
      </c>
      <c r="Q507" s="62">
        <f t="shared" si="702"/>
        <v>2910</v>
      </c>
      <c r="R507" s="69">
        <f t="shared" si="762"/>
        <v>1</v>
      </c>
      <c r="S507" s="70">
        <f t="shared" ref="S507" si="785">100%-(Q507/$F507)</f>
        <v>0</v>
      </c>
      <c r="T507" s="69"/>
      <c r="U507" s="68">
        <v>0</v>
      </c>
      <c r="V507" s="62">
        <f t="shared" si="694"/>
        <v>2910</v>
      </c>
      <c r="W507" s="69">
        <f t="shared" si="763"/>
        <v>1</v>
      </c>
      <c r="X507" s="70">
        <f t="shared" ref="X507" si="786">100%-(V507/$F507)</f>
        <v>0</v>
      </c>
      <c r="Y507" s="69"/>
      <c r="Z507" s="68">
        <f>Y507*D507</f>
        <v>0</v>
      </c>
      <c r="AA507" s="68">
        <f t="shared" si="695"/>
        <v>2910</v>
      </c>
      <c r="AB507" s="69">
        <f t="shared" si="760"/>
        <v>1</v>
      </c>
      <c r="AC507" s="70">
        <f t="shared" ref="AC507" si="787">100%-(AA507/$F507)</f>
        <v>0</v>
      </c>
      <c r="AD507" s="69"/>
      <c r="AE507" s="68">
        <f>AD507*I507</f>
        <v>0</v>
      </c>
      <c r="AF507" s="68">
        <f>F507-AE507</f>
        <v>2910</v>
      </c>
      <c r="AG507" s="69">
        <f>G507-AD507</f>
        <v>1</v>
      </c>
      <c r="AH507" s="70">
        <f t="shared" ref="AH507" si="788">100%-(AF507/$F507)</f>
        <v>0</v>
      </c>
    </row>
    <row r="508" spans="1:34" ht="15" customHeight="1" x14ac:dyDescent="0.25">
      <c r="A508" s="60">
        <v>12</v>
      </c>
      <c r="B508" s="60"/>
      <c r="C508" s="61" t="s">
        <v>271</v>
      </c>
      <c r="D508" s="62">
        <f>_xlfn.XLOOKUP(A508,SOV!$A$9:$A$27,SOV!$C$9:$C$27)</f>
        <v>818500</v>
      </c>
      <c r="E508" s="62">
        <v>643178.31000000006</v>
      </c>
      <c r="F508" s="62"/>
      <c r="G508" s="63"/>
      <c r="H508" s="64"/>
      <c r="I508" s="62"/>
      <c r="J508" s="63"/>
      <c r="K508" s="62">
        <f>SUM(K509,K556,K590)</f>
        <v>0</v>
      </c>
      <c r="L508" s="62">
        <f t="shared" si="701"/>
        <v>693759.1094496958</v>
      </c>
      <c r="M508" s="69">
        <f t="shared" si="761"/>
        <v>0</v>
      </c>
      <c r="N508" s="65"/>
      <c r="O508" s="63"/>
      <c r="P508" s="62">
        <f>SUM(P509,P556,P590)</f>
        <v>17114.28</v>
      </c>
      <c r="Q508" s="62">
        <f t="shared" si="702"/>
        <v>693759.1094496958</v>
      </c>
      <c r="R508" s="69">
        <f t="shared" si="762"/>
        <v>0</v>
      </c>
      <c r="S508" s="65"/>
      <c r="T508" s="63"/>
      <c r="U508" s="62">
        <f>SUM(U509,U556,U590)</f>
        <v>75946.176250000004</v>
      </c>
      <c r="V508" s="62">
        <f t="shared" si="694"/>
        <v>710873.38944969582</v>
      </c>
      <c r="W508" s="69">
        <f t="shared" si="763"/>
        <v>0</v>
      </c>
      <c r="X508" s="65"/>
      <c r="Y508" s="63"/>
      <c r="Z508" s="62">
        <f>SUM(Z509,Z556,Z590)</f>
        <v>31680.434300304216</v>
      </c>
      <c r="AA508" s="68">
        <f t="shared" si="695"/>
        <v>786819.56569969584</v>
      </c>
      <c r="AB508" s="69">
        <f t="shared" si="760"/>
        <v>0</v>
      </c>
      <c r="AC508" s="65"/>
      <c r="AD508" s="63"/>
      <c r="AE508" s="62">
        <f>SUM(AE509,AE556,AE590)</f>
        <v>0</v>
      </c>
      <c r="AF508" s="62">
        <f>SUM(AF509,AF556,AF590)</f>
        <v>818500</v>
      </c>
      <c r="AG508" s="63"/>
      <c r="AH508" s="65"/>
    </row>
    <row r="509" spans="1:34" ht="15" customHeight="1" outlineLevel="1" x14ac:dyDescent="0.25">
      <c r="A509" s="79"/>
      <c r="B509" s="80"/>
      <c r="C509" s="79" t="s">
        <v>272</v>
      </c>
      <c r="D509" s="81"/>
      <c r="E509" s="81">
        <v>284978.65999999997</v>
      </c>
      <c r="F509" s="81">
        <f>ROUND($D$508/$E$508*E509,2)</f>
        <v>362659.98</v>
      </c>
      <c r="G509" s="82"/>
      <c r="H509" s="79"/>
      <c r="I509" s="81"/>
      <c r="J509" s="82"/>
      <c r="K509" s="81">
        <f>SUM(K510,K513,K516,K519,K522,K525,K528,K531,K537,K544,K547,K550,K553)</f>
        <v>0</v>
      </c>
      <c r="L509" s="62">
        <f t="shared" si="701"/>
        <v>255312.1179807692</v>
      </c>
      <c r="M509" s="69">
        <f t="shared" si="761"/>
        <v>0</v>
      </c>
      <c r="N509" s="83"/>
      <c r="O509" s="82"/>
      <c r="P509" s="81">
        <f>SUM(P510,P513,P516,P519,P522,P525,P528,P531,P537,P544,P547,P550,P553)</f>
        <v>11356.449999999999</v>
      </c>
      <c r="Q509" s="62">
        <f t="shared" si="702"/>
        <v>255312.1179807692</v>
      </c>
      <c r="R509" s="69">
        <f t="shared" si="762"/>
        <v>0</v>
      </c>
      <c r="S509" s="83"/>
      <c r="T509" s="82"/>
      <c r="U509" s="81">
        <f>SUM(U510,U513,U516,U519,U522,U525,U528,U531,U537,U544,U547,U550,U553)</f>
        <v>75946.176250000004</v>
      </c>
      <c r="V509" s="62">
        <f t="shared" si="694"/>
        <v>266668.56798076921</v>
      </c>
      <c r="W509" s="69">
        <f t="shared" si="763"/>
        <v>0</v>
      </c>
      <c r="X509" s="83"/>
      <c r="Y509" s="82"/>
      <c r="Z509" s="81">
        <f>SUM(Z510,Z513,Z516,Z519,Z522,Z525,Z528,Z531,Z537,Z544,Z547,Z550,Z553)</f>
        <v>20045.255769230767</v>
      </c>
      <c r="AA509" s="68">
        <f t="shared" si="695"/>
        <v>342614.74423076923</v>
      </c>
      <c r="AB509" s="69">
        <f t="shared" si="760"/>
        <v>0</v>
      </c>
      <c r="AC509" s="83"/>
      <c r="AD509" s="82"/>
      <c r="AE509" s="81">
        <f>SUM(AE510,AE513,AE516,AE519,AE522,AE525,AE528,AE531,AE537,AE544,AE547,AE550,AE553)</f>
        <v>0</v>
      </c>
      <c r="AF509" s="81">
        <f>SUM(AF510,AF513,AF516,AF519,AF522,AF525,AF528,AF531,AF537,AF544,AF547,AF550,AF553)</f>
        <v>362660</v>
      </c>
      <c r="AG509" s="82"/>
      <c r="AH509" s="83"/>
    </row>
    <row r="510" spans="1:34" ht="15" customHeight="1" outlineLevel="1" x14ac:dyDescent="0.25">
      <c r="A510" s="67"/>
      <c r="B510" s="66"/>
      <c r="C510" s="67" t="s">
        <v>273</v>
      </c>
      <c r="D510" s="68"/>
      <c r="E510" s="68">
        <v>16090.75</v>
      </c>
      <c r="F510" s="68">
        <f t="shared" ref="F510:F573" si="789">ROUND($D$508/$E$508*E510,2)</f>
        <v>20476.87</v>
      </c>
      <c r="G510" s="69">
        <v>43</v>
      </c>
      <c r="H510" s="67" t="s">
        <v>39</v>
      </c>
      <c r="I510" s="68">
        <f t="shared" si="769"/>
        <v>476.20627906976739</v>
      </c>
      <c r="J510" s="69"/>
      <c r="K510" s="68">
        <f>+J510*$I510</f>
        <v>0</v>
      </c>
      <c r="L510" s="62">
        <f t="shared" si="701"/>
        <v>20476.87</v>
      </c>
      <c r="M510" s="69">
        <f t="shared" si="761"/>
        <v>43</v>
      </c>
      <c r="N510" s="70">
        <f t="shared" ref="N510" si="790">100%-(L510/$F510)</f>
        <v>0</v>
      </c>
      <c r="O510" s="69"/>
      <c r="P510" s="68">
        <f>+O510*$I510</f>
        <v>0</v>
      </c>
      <c r="Q510" s="62">
        <f t="shared" si="702"/>
        <v>20476.87</v>
      </c>
      <c r="R510" s="69">
        <f t="shared" si="762"/>
        <v>43</v>
      </c>
      <c r="S510" s="70">
        <f t="shared" ref="S510" si="791">100%-(Q510/$F510)</f>
        <v>0</v>
      </c>
      <c r="T510" s="69"/>
      <c r="U510" s="68">
        <f>+T510*$I510</f>
        <v>0</v>
      </c>
      <c r="V510" s="62">
        <f t="shared" si="694"/>
        <v>20476.87</v>
      </c>
      <c r="W510" s="69">
        <f t="shared" si="763"/>
        <v>43</v>
      </c>
      <c r="X510" s="70">
        <f t="shared" ref="X510" si="792">100%-(V510/$F510)</f>
        <v>0</v>
      </c>
      <c r="Y510" s="69"/>
      <c r="Z510" s="68">
        <f t="shared" ref="Z510:Z553" si="793">+Y510*I510</f>
        <v>0</v>
      </c>
      <c r="AA510" s="68">
        <f t="shared" si="695"/>
        <v>20476.87</v>
      </c>
      <c r="AB510" s="69">
        <f t="shared" si="760"/>
        <v>43</v>
      </c>
      <c r="AC510" s="70">
        <f t="shared" ref="AC510" si="794">100%-(AA510/$F510)</f>
        <v>0</v>
      </c>
      <c r="AD510" s="69"/>
      <c r="AE510" s="68">
        <f>AD510*I510</f>
        <v>0</v>
      </c>
      <c r="AF510" s="68">
        <f>F510-AE510</f>
        <v>20476.87</v>
      </c>
      <c r="AG510" s="69">
        <f>G510-AD510</f>
        <v>43</v>
      </c>
      <c r="AH510" s="70">
        <f t="shared" ref="AH510" si="795">100%-(AF510/$F510)</f>
        <v>0</v>
      </c>
    </row>
    <row r="511" spans="1:34" ht="15" customHeight="1" outlineLevel="2" x14ac:dyDescent="0.25">
      <c r="B511" s="71">
        <v>2705</v>
      </c>
      <c r="C511" s="56" t="s">
        <v>274</v>
      </c>
      <c r="E511" s="73">
        <v>3862.88</v>
      </c>
      <c r="F511" s="74">
        <f t="shared" si="789"/>
        <v>4915.8500000000004</v>
      </c>
      <c r="G511" s="75">
        <v>1</v>
      </c>
      <c r="H511" s="56" t="s">
        <v>34</v>
      </c>
      <c r="I511" s="73">
        <f t="shared" si="769"/>
        <v>4915.8500000000004</v>
      </c>
      <c r="K511" s="68">
        <f t="shared" ref="K511:K513" si="796">+J511*$I511</f>
        <v>0</v>
      </c>
      <c r="L511" s="62">
        <f t="shared" si="701"/>
        <v>0</v>
      </c>
      <c r="M511" s="69">
        <f t="shared" si="761"/>
        <v>0</v>
      </c>
      <c r="P511" s="68">
        <f t="shared" ref="P511:P513" si="797">+O511*$I511</f>
        <v>0</v>
      </c>
      <c r="Q511" s="62">
        <f t="shared" si="702"/>
        <v>0</v>
      </c>
      <c r="R511" s="69">
        <f t="shared" si="762"/>
        <v>0</v>
      </c>
      <c r="U511" s="68">
        <f t="shared" ref="U511:U553" si="798">+T511*$I511</f>
        <v>0</v>
      </c>
      <c r="V511" s="62">
        <f t="shared" si="694"/>
        <v>0</v>
      </c>
      <c r="W511" s="69">
        <f t="shared" si="763"/>
        <v>0</v>
      </c>
      <c r="Z511" s="68">
        <f t="shared" si="793"/>
        <v>0</v>
      </c>
      <c r="AA511" s="68">
        <f t="shared" si="695"/>
        <v>0</v>
      </c>
      <c r="AB511" s="69">
        <f t="shared" si="760"/>
        <v>0</v>
      </c>
      <c r="AD511" s="75">
        <f>AD510*G511/G510</f>
        <v>0</v>
      </c>
    </row>
    <row r="512" spans="1:34" ht="15" customHeight="1" outlineLevel="2" x14ac:dyDescent="0.25">
      <c r="B512" s="71">
        <v>2700</v>
      </c>
      <c r="C512" s="56" t="s">
        <v>275</v>
      </c>
      <c r="E512" s="73">
        <v>12227.86</v>
      </c>
      <c r="F512" s="74">
        <f t="shared" si="789"/>
        <v>15561.01</v>
      </c>
      <c r="G512" s="75">
        <v>1</v>
      </c>
      <c r="H512" s="56" t="s">
        <v>34</v>
      </c>
      <c r="I512" s="73">
        <f t="shared" si="769"/>
        <v>15561.01</v>
      </c>
      <c r="K512" s="68">
        <f t="shared" si="796"/>
        <v>0</v>
      </c>
      <c r="L512" s="62">
        <f t="shared" si="701"/>
        <v>0</v>
      </c>
      <c r="M512" s="69">
        <f t="shared" si="761"/>
        <v>0</v>
      </c>
      <c r="P512" s="68">
        <f t="shared" si="797"/>
        <v>0</v>
      </c>
      <c r="Q512" s="62">
        <f t="shared" si="702"/>
        <v>0</v>
      </c>
      <c r="R512" s="69">
        <f t="shared" si="762"/>
        <v>0</v>
      </c>
      <c r="U512" s="68">
        <f t="shared" si="798"/>
        <v>0</v>
      </c>
      <c r="V512" s="62">
        <f t="shared" si="694"/>
        <v>0</v>
      </c>
      <c r="W512" s="69">
        <f t="shared" si="763"/>
        <v>0</v>
      </c>
      <c r="Z512" s="68">
        <f t="shared" si="793"/>
        <v>0</v>
      </c>
      <c r="AA512" s="68">
        <f t="shared" si="695"/>
        <v>0</v>
      </c>
      <c r="AB512" s="69">
        <f t="shared" si="760"/>
        <v>0</v>
      </c>
      <c r="AD512" s="75">
        <f>AD510*G512/G510</f>
        <v>0</v>
      </c>
    </row>
    <row r="513" spans="1:34" ht="15" customHeight="1" outlineLevel="1" x14ac:dyDescent="0.25">
      <c r="A513" s="67"/>
      <c r="B513" s="66"/>
      <c r="C513" s="67" t="s">
        <v>276</v>
      </c>
      <c r="D513" s="68"/>
      <c r="E513" s="68">
        <v>11188.74</v>
      </c>
      <c r="F513" s="68">
        <f t="shared" si="789"/>
        <v>14238.64</v>
      </c>
      <c r="G513" s="69">
        <v>2</v>
      </c>
      <c r="H513" s="67" t="s">
        <v>39</v>
      </c>
      <c r="I513" s="68">
        <f t="shared" si="769"/>
        <v>7119.32</v>
      </c>
      <c r="J513" s="69"/>
      <c r="K513" s="68">
        <f t="shared" si="796"/>
        <v>0</v>
      </c>
      <c r="L513" s="62">
        <f t="shared" si="701"/>
        <v>14238.64</v>
      </c>
      <c r="M513" s="69">
        <f t="shared" si="761"/>
        <v>2</v>
      </c>
      <c r="N513" s="70">
        <f t="shared" ref="N513" si="799">100%-(L513/$F513)</f>
        <v>0</v>
      </c>
      <c r="O513" s="69"/>
      <c r="P513" s="68">
        <f t="shared" si="797"/>
        <v>0</v>
      </c>
      <c r="Q513" s="62">
        <f t="shared" si="702"/>
        <v>14238.64</v>
      </c>
      <c r="R513" s="69">
        <f t="shared" si="762"/>
        <v>2</v>
      </c>
      <c r="S513" s="70">
        <f t="shared" ref="S513" si="800">100%-(Q513/$F513)</f>
        <v>0</v>
      </c>
      <c r="T513" s="69"/>
      <c r="U513" s="68">
        <f t="shared" si="798"/>
        <v>0</v>
      </c>
      <c r="V513" s="62">
        <f t="shared" si="694"/>
        <v>14238.64</v>
      </c>
      <c r="W513" s="69">
        <f t="shared" si="763"/>
        <v>2</v>
      </c>
      <c r="X513" s="70">
        <f t="shared" ref="X513" si="801">100%-(V513/$F513)</f>
        <v>0</v>
      </c>
      <c r="Y513" s="69"/>
      <c r="Z513" s="68">
        <f t="shared" si="793"/>
        <v>0</v>
      </c>
      <c r="AA513" s="68">
        <f t="shared" si="695"/>
        <v>14238.64</v>
      </c>
      <c r="AB513" s="69">
        <f t="shared" si="760"/>
        <v>2</v>
      </c>
      <c r="AC513" s="70">
        <f t="shared" ref="AC513" si="802">100%-(AA513/$F513)</f>
        <v>0</v>
      </c>
      <c r="AD513" s="69"/>
      <c r="AE513" s="68">
        <f>AD513*I513</f>
        <v>0</v>
      </c>
      <c r="AF513" s="68">
        <f>F513-AE513</f>
        <v>14238.64</v>
      </c>
      <c r="AG513" s="69">
        <f>G513-AD513</f>
        <v>2</v>
      </c>
      <c r="AH513" s="70">
        <f t="shared" ref="AH513" si="803">100%-(AF513/$F513)</f>
        <v>0</v>
      </c>
    </row>
    <row r="514" spans="1:34" ht="15" customHeight="1" outlineLevel="2" x14ac:dyDescent="0.25">
      <c r="B514" s="71">
        <v>2705</v>
      </c>
      <c r="C514" s="56" t="s">
        <v>274</v>
      </c>
      <c r="E514" s="73">
        <v>2673.7</v>
      </c>
      <c r="F514" s="74">
        <f t="shared" si="789"/>
        <v>3402.51</v>
      </c>
      <c r="G514" s="75">
        <v>1</v>
      </c>
      <c r="H514" s="56" t="s">
        <v>34</v>
      </c>
      <c r="I514" s="73">
        <f t="shared" si="769"/>
        <v>3402.51</v>
      </c>
      <c r="K514" s="68"/>
      <c r="L514" s="62">
        <f t="shared" si="701"/>
        <v>0</v>
      </c>
      <c r="M514" s="69">
        <f t="shared" si="761"/>
        <v>0</v>
      </c>
      <c r="P514" s="68"/>
      <c r="Q514" s="62">
        <f t="shared" si="702"/>
        <v>0</v>
      </c>
      <c r="R514" s="69">
        <f t="shared" si="762"/>
        <v>0</v>
      </c>
      <c r="U514" s="68"/>
      <c r="V514" s="62">
        <f t="shared" si="694"/>
        <v>0</v>
      </c>
      <c r="W514" s="69">
        <f t="shared" si="763"/>
        <v>0</v>
      </c>
      <c r="Z514" s="68">
        <f t="shared" si="793"/>
        <v>0</v>
      </c>
      <c r="AA514" s="68">
        <f t="shared" si="695"/>
        <v>0</v>
      </c>
      <c r="AB514" s="69">
        <f t="shared" si="760"/>
        <v>0</v>
      </c>
      <c r="AD514" s="75">
        <f>AD513*G514/G513</f>
        <v>0</v>
      </c>
    </row>
    <row r="515" spans="1:34" ht="15" customHeight="1" outlineLevel="2" x14ac:dyDescent="0.25">
      <c r="B515" s="71">
        <v>2700</v>
      </c>
      <c r="C515" s="56" t="s">
        <v>277</v>
      </c>
      <c r="E515" s="73">
        <v>8515.0400000000009</v>
      </c>
      <c r="F515" s="74">
        <f t="shared" si="789"/>
        <v>10836.12</v>
      </c>
      <c r="G515" s="75">
        <v>1</v>
      </c>
      <c r="H515" s="56" t="s">
        <v>34</v>
      </c>
      <c r="I515" s="73">
        <f t="shared" si="769"/>
        <v>10836.12</v>
      </c>
      <c r="K515" s="68"/>
      <c r="L515" s="62">
        <f t="shared" si="701"/>
        <v>0</v>
      </c>
      <c r="M515" s="69">
        <f t="shared" si="761"/>
        <v>0</v>
      </c>
      <c r="P515" s="68"/>
      <c r="Q515" s="62">
        <f t="shared" si="702"/>
        <v>0</v>
      </c>
      <c r="R515" s="69">
        <f t="shared" si="762"/>
        <v>0</v>
      </c>
      <c r="U515" s="68"/>
      <c r="V515" s="62">
        <f t="shared" si="694"/>
        <v>0</v>
      </c>
      <c r="W515" s="69">
        <f t="shared" si="763"/>
        <v>0</v>
      </c>
      <c r="Z515" s="68">
        <f t="shared" si="793"/>
        <v>0</v>
      </c>
      <c r="AA515" s="68">
        <f t="shared" si="695"/>
        <v>0</v>
      </c>
      <c r="AB515" s="69">
        <f t="shared" si="760"/>
        <v>0</v>
      </c>
      <c r="AD515" s="75">
        <f>AD513*G515/G513</f>
        <v>0</v>
      </c>
    </row>
    <row r="516" spans="1:34" ht="15" customHeight="1" outlineLevel="1" x14ac:dyDescent="0.25">
      <c r="A516" s="67"/>
      <c r="B516" s="66"/>
      <c r="C516" s="67" t="s">
        <v>278</v>
      </c>
      <c r="D516" s="68"/>
      <c r="E516" s="68">
        <v>16793.689999999999</v>
      </c>
      <c r="F516" s="68">
        <f t="shared" si="789"/>
        <v>21371.42</v>
      </c>
      <c r="G516" s="69">
        <v>2</v>
      </c>
      <c r="H516" s="67" t="s">
        <v>39</v>
      </c>
      <c r="I516" s="68">
        <f t="shared" si="769"/>
        <v>10685.71</v>
      </c>
      <c r="J516" s="69"/>
      <c r="K516" s="68">
        <f t="shared" ref="K516:K553" si="804">+J516*$I516</f>
        <v>0</v>
      </c>
      <c r="L516" s="62">
        <f t="shared" si="701"/>
        <v>21371.42</v>
      </c>
      <c r="M516" s="69">
        <f t="shared" si="761"/>
        <v>2</v>
      </c>
      <c r="N516" s="70">
        <f t="shared" ref="N516" si="805">100%-(L516/$F516)</f>
        <v>0</v>
      </c>
      <c r="O516" s="69"/>
      <c r="P516" s="68">
        <f t="shared" ref="P516:P553" si="806">+O516*$I516</f>
        <v>0</v>
      </c>
      <c r="Q516" s="62">
        <f t="shared" si="702"/>
        <v>21371.42</v>
      </c>
      <c r="R516" s="69">
        <f t="shared" si="762"/>
        <v>2</v>
      </c>
      <c r="S516" s="70">
        <f t="shared" ref="S516" si="807">100%-(Q516/$F516)</f>
        <v>0</v>
      </c>
      <c r="T516" s="69"/>
      <c r="U516" s="68">
        <f t="shared" si="798"/>
        <v>0</v>
      </c>
      <c r="V516" s="62">
        <f t="shared" si="694"/>
        <v>21371.42</v>
      </c>
      <c r="W516" s="69">
        <f t="shared" si="763"/>
        <v>2</v>
      </c>
      <c r="X516" s="70">
        <f t="shared" ref="X516" si="808">100%-(V516/$F516)</f>
        <v>0</v>
      </c>
      <c r="Y516" s="69"/>
      <c r="Z516" s="68">
        <f t="shared" si="793"/>
        <v>0</v>
      </c>
      <c r="AA516" s="68">
        <f t="shared" si="695"/>
        <v>21371.42</v>
      </c>
      <c r="AB516" s="69">
        <f t="shared" si="760"/>
        <v>2</v>
      </c>
      <c r="AC516" s="70">
        <f t="shared" ref="AC516" si="809">100%-(AA516/$F516)</f>
        <v>0</v>
      </c>
      <c r="AD516" s="69"/>
      <c r="AE516" s="68">
        <f>AD516*I516</f>
        <v>0</v>
      </c>
      <c r="AF516" s="68">
        <f>F516-AE516</f>
        <v>21371.42</v>
      </c>
      <c r="AG516" s="69">
        <f>G516-AD516</f>
        <v>2</v>
      </c>
      <c r="AH516" s="70">
        <f t="shared" ref="AH516" si="810">100%-(AF516/$F516)</f>
        <v>0</v>
      </c>
    </row>
    <row r="517" spans="1:34" ht="15" customHeight="1" outlineLevel="2" x14ac:dyDescent="0.25">
      <c r="B517" s="71">
        <v>2705</v>
      </c>
      <c r="C517" s="56" t="s">
        <v>274</v>
      </c>
      <c r="E517" s="73">
        <v>2575.25</v>
      </c>
      <c r="F517" s="74">
        <f t="shared" si="789"/>
        <v>3277.23</v>
      </c>
      <c r="G517" s="75">
        <v>1</v>
      </c>
      <c r="H517" s="56" t="s">
        <v>34</v>
      </c>
      <c r="I517" s="73">
        <f t="shared" si="769"/>
        <v>3277.23</v>
      </c>
      <c r="K517" s="68">
        <f t="shared" si="804"/>
        <v>0</v>
      </c>
      <c r="L517" s="62">
        <f t="shared" si="701"/>
        <v>0</v>
      </c>
      <c r="M517" s="69">
        <f t="shared" si="761"/>
        <v>0</v>
      </c>
      <c r="P517" s="68">
        <f t="shared" si="806"/>
        <v>0</v>
      </c>
      <c r="Q517" s="62">
        <f t="shared" si="702"/>
        <v>0</v>
      </c>
      <c r="R517" s="69">
        <f t="shared" si="762"/>
        <v>0</v>
      </c>
      <c r="U517" s="68">
        <f t="shared" si="798"/>
        <v>0</v>
      </c>
      <c r="V517" s="62">
        <f t="shared" ref="V517:V580" si="811">+AA517-U517</f>
        <v>0</v>
      </c>
      <c r="W517" s="69">
        <f t="shared" si="763"/>
        <v>0</v>
      </c>
      <c r="Z517" s="68">
        <f t="shared" si="793"/>
        <v>0</v>
      </c>
      <c r="AA517" s="68">
        <f t="shared" ref="AA517:AA580" si="812">+AF517-Z517</f>
        <v>0</v>
      </c>
      <c r="AB517" s="69">
        <f t="shared" si="760"/>
        <v>0</v>
      </c>
      <c r="AD517" s="75">
        <f>AD516*G517/G516</f>
        <v>0</v>
      </c>
    </row>
    <row r="518" spans="1:34" ht="15" customHeight="1" outlineLevel="2" x14ac:dyDescent="0.25">
      <c r="B518" s="71">
        <v>2700</v>
      </c>
      <c r="C518" s="56" t="s">
        <v>277</v>
      </c>
      <c r="E518" s="73">
        <v>14218.44</v>
      </c>
      <c r="F518" s="74">
        <f t="shared" si="789"/>
        <v>18094.189999999999</v>
      </c>
      <c r="G518" s="75">
        <v>1</v>
      </c>
      <c r="H518" s="56" t="s">
        <v>34</v>
      </c>
      <c r="I518" s="73">
        <f t="shared" si="769"/>
        <v>18094.189999999999</v>
      </c>
      <c r="K518" s="68">
        <f t="shared" si="804"/>
        <v>0</v>
      </c>
      <c r="L518" s="62">
        <f t="shared" si="701"/>
        <v>0</v>
      </c>
      <c r="M518" s="69">
        <f t="shared" si="761"/>
        <v>0</v>
      </c>
      <c r="P518" s="68">
        <f t="shared" si="806"/>
        <v>0</v>
      </c>
      <c r="Q518" s="62">
        <f t="shared" si="702"/>
        <v>0</v>
      </c>
      <c r="R518" s="69">
        <f t="shared" si="762"/>
        <v>0</v>
      </c>
      <c r="U518" s="68">
        <f t="shared" si="798"/>
        <v>0</v>
      </c>
      <c r="V518" s="62">
        <f t="shared" si="811"/>
        <v>0</v>
      </c>
      <c r="W518" s="69">
        <f t="shared" si="763"/>
        <v>0</v>
      </c>
      <c r="Z518" s="68">
        <f t="shared" si="793"/>
        <v>0</v>
      </c>
      <c r="AA518" s="68">
        <f t="shared" si="812"/>
        <v>0</v>
      </c>
      <c r="AB518" s="69">
        <f t="shared" si="760"/>
        <v>0</v>
      </c>
      <c r="AD518" s="75">
        <f>AD516*G518/G516</f>
        <v>0</v>
      </c>
    </row>
    <row r="519" spans="1:34" ht="15" customHeight="1" outlineLevel="1" x14ac:dyDescent="0.25">
      <c r="A519" s="67"/>
      <c r="B519" s="66"/>
      <c r="C519" s="67" t="s">
        <v>279</v>
      </c>
      <c r="D519" s="68"/>
      <c r="E519" s="68">
        <v>68204.11</v>
      </c>
      <c r="F519" s="68">
        <f t="shared" si="789"/>
        <v>86795.63</v>
      </c>
      <c r="G519" s="69">
        <v>4</v>
      </c>
      <c r="H519" s="67" t="s">
        <v>39</v>
      </c>
      <c r="I519" s="68">
        <f t="shared" si="769"/>
        <v>21698.907500000001</v>
      </c>
      <c r="J519" s="69"/>
      <c r="K519" s="68">
        <f t="shared" si="804"/>
        <v>0</v>
      </c>
      <c r="L519" s="62">
        <f t="shared" ref="L519:L582" si="813">+Q519-K519</f>
        <v>10849.453750000001</v>
      </c>
      <c r="M519" s="69">
        <f t="shared" si="761"/>
        <v>0.5</v>
      </c>
      <c r="N519" s="70">
        <f t="shared" ref="N519" si="814">100%-(L519/$F519)</f>
        <v>0.875</v>
      </c>
      <c r="O519" s="69"/>
      <c r="P519" s="68">
        <f t="shared" si="806"/>
        <v>0</v>
      </c>
      <c r="Q519" s="62">
        <f t="shared" ref="Q519:Q582" si="815">+V519-P519</f>
        <v>10849.453750000001</v>
      </c>
      <c r="R519" s="69">
        <f t="shared" si="762"/>
        <v>0.5</v>
      </c>
      <c r="S519" s="70">
        <f t="shared" ref="S519" si="816">100%-(Q519/$F519)</f>
        <v>0.875</v>
      </c>
      <c r="T519" s="69">
        <v>3.5</v>
      </c>
      <c r="U519" s="68">
        <f t="shared" si="798"/>
        <v>75946.176250000004</v>
      </c>
      <c r="V519" s="62">
        <f t="shared" si="811"/>
        <v>10849.453750000001</v>
      </c>
      <c r="W519" s="69">
        <f t="shared" si="763"/>
        <v>0.5</v>
      </c>
      <c r="X519" s="70">
        <f t="shared" ref="X519" si="817">100%-(V519/$F519)</f>
        <v>0.875</v>
      </c>
      <c r="Y519" s="69"/>
      <c r="Z519" s="68">
        <f t="shared" si="793"/>
        <v>0</v>
      </c>
      <c r="AA519" s="68">
        <f t="shared" si="812"/>
        <v>86795.63</v>
      </c>
      <c r="AB519" s="69">
        <f t="shared" si="760"/>
        <v>4</v>
      </c>
      <c r="AC519" s="70">
        <f t="shared" ref="AC519" si="818">100%-(AA519/$F519)</f>
        <v>0</v>
      </c>
      <c r="AD519" s="69"/>
      <c r="AE519" s="68">
        <f>AD519*I519</f>
        <v>0</v>
      </c>
      <c r="AF519" s="68">
        <f>F519-AE519</f>
        <v>86795.63</v>
      </c>
      <c r="AG519" s="69">
        <f>G519-AD519</f>
        <v>4</v>
      </c>
      <c r="AH519" s="70">
        <f t="shared" ref="AH519" si="819">100%-(AF519/$F519)</f>
        <v>0</v>
      </c>
    </row>
    <row r="520" spans="1:34" ht="15" customHeight="1" outlineLevel="2" x14ac:dyDescent="0.25">
      <c r="B520" s="71">
        <v>2705</v>
      </c>
      <c r="C520" s="56" t="s">
        <v>274</v>
      </c>
      <c r="E520" s="73">
        <v>4259.2700000000004</v>
      </c>
      <c r="F520" s="74">
        <f t="shared" si="789"/>
        <v>5420.29</v>
      </c>
      <c r="G520" s="75">
        <v>1</v>
      </c>
      <c r="H520" s="56" t="s">
        <v>34</v>
      </c>
      <c r="I520" s="73">
        <f t="shared" si="769"/>
        <v>5420.29</v>
      </c>
      <c r="K520" s="68">
        <f t="shared" si="804"/>
        <v>0</v>
      </c>
      <c r="L520" s="62">
        <f t="shared" si="813"/>
        <v>0</v>
      </c>
      <c r="M520" s="69">
        <f t="shared" si="761"/>
        <v>0</v>
      </c>
      <c r="P520" s="68">
        <f t="shared" si="806"/>
        <v>0</v>
      </c>
      <c r="Q520" s="62">
        <f t="shared" si="815"/>
        <v>0</v>
      </c>
      <c r="R520" s="69">
        <f t="shared" si="762"/>
        <v>0</v>
      </c>
      <c r="U520" s="68">
        <f t="shared" si="798"/>
        <v>0</v>
      </c>
      <c r="V520" s="62">
        <f t="shared" si="811"/>
        <v>0</v>
      </c>
      <c r="W520" s="69">
        <f t="shared" si="763"/>
        <v>0</v>
      </c>
      <c r="Z520" s="68">
        <f t="shared" si="793"/>
        <v>0</v>
      </c>
      <c r="AA520" s="68">
        <f t="shared" si="812"/>
        <v>0</v>
      </c>
      <c r="AB520" s="69">
        <f t="shared" si="760"/>
        <v>0</v>
      </c>
      <c r="AD520" s="75">
        <f>AD519*G520/G519</f>
        <v>0</v>
      </c>
    </row>
    <row r="521" spans="1:34" ht="15" customHeight="1" outlineLevel="2" x14ac:dyDescent="0.25">
      <c r="B521" s="71">
        <v>2700</v>
      </c>
      <c r="C521" s="56" t="s">
        <v>277</v>
      </c>
      <c r="E521" s="73">
        <v>63944.84</v>
      </c>
      <c r="F521" s="74">
        <f t="shared" si="789"/>
        <v>81375.34</v>
      </c>
      <c r="G521" s="75">
        <v>1</v>
      </c>
      <c r="H521" s="56" t="s">
        <v>34</v>
      </c>
      <c r="I521" s="73">
        <f t="shared" si="769"/>
        <v>81375.34</v>
      </c>
      <c r="K521" s="68">
        <f t="shared" si="804"/>
        <v>0</v>
      </c>
      <c r="L521" s="62">
        <f t="shared" si="813"/>
        <v>0</v>
      </c>
      <c r="M521" s="69">
        <f t="shared" si="761"/>
        <v>0</v>
      </c>
      <c r="P521" s="68">
        <f t="shared" si="806"/>
        <v>0</v>
      </c>
      <c r="Q521" s="62">
        <f t="shared" si="815"/>
        <v>0</v>
      </c>
      <c r="R521" s="69">
        <f t="shared" si="762"/>
        <v>0</v>
      </c>
      <c r="U521" s="68">
        <f t="shared" si="798"/>
        <v>0</v>
      </c>
      <c r="V521" s="62">
        <f t="shared" si="811"/>
        <v>0</v>
      </c>
      <c r="W521" s="69">
        <f t="shared" si="763"/>
        <v>0</v>
      </c>
      <c r="Z521" s="68">
        <f t="shared" si="793"/>
        <v>0</v>
      </c>
      <c r="AA521" s="68">
        <f t="shared" si="812"/>
        <v>0</v>
      </c>
      <c r="AB521" s="69">
        <f t="shared" si="760"/>
        <v>0</v>
      </c>
      <c r="AD521" s="75">
        <f>AD519*G521/G519</f>
        <v>0</v>
      </c>
    </row>
    <row r="522" spans="1:34" ht="15" customHeight="1" outlineLevel="1" x14ac:dyDescent="0.25">
      <c r="A522" s="67"/>
      <c r="B522" s="66"/>
      <c r="C522" s="67" t="s">
        <v>280</v>
      </c>
      <c r="D522" s="68"/>
      <c r="E522" s="68">
        <v>15150.56</v>
      </c>
      <c r="F522" s="68">
        <f t="shared" si="789"/>
        <v>19280.400000000001</v>
      </c>
      <c r="G522" s="69">
        <v>10</v>
      </c>
      <c r="H522" s="67" t="s">
        <v>39</v>
      </c>
      <c r="I522" s="68">
        <f t="shared" si="769"/>
        <v>1928.0400000000002</v>
      </c>
      <c r="J522" s="69"/>
      <c r="K522" s="68">
        <f t="shared" si="804"/>
        <v>0</v>
      </c>
      <c r="L522" s="62">
        <f t="shared" si="813"/>
        <v>19280.400000000001</v>
      </c>
      <c r="M522" s="69">
        <f t="shared" si="761"/>
        <v>10</v>
      </c>
      <c r="N522" s="70">
        <f t="shared" ref="N522" si="820">100%-(L522/$F522)</f>
        <v>0</v>
      </c>
      <c r="O522" s="69"/>
      <c r="P522" s="68">
        <f t="shared" si="806"/>
        <v>0</v>
      </c>
      <c r="Q522" s="62">
        <f t="shared" si="815"/>
        <v>19280.400000000001</v>
      </c>
      <c r="R522" s="69">
        <f t="shared" si="762"/>
        <v>10</v>
      </c>
      <c r="S522" s="70">
        <f t="shared" ref="S522" si="821">100%-(Q522/$F522)</f>
        <v>0</v>
      </c>
      <c r="T522" s="69"/>
      <c r="U522" s="68">
        <f t="shared" si="798"/>
        <v>0</v>
      </c>
      <c r="V522" s="62">
        <f t="shared" si="811"/>
        <v>19280.400000000001</v>
      </c>
      <c r="W522" s="69">
        <f t="shared" si="763"/>
        <v>10</v>
      </c>
      <c r="X522" s="70">
        <f t="shared" ref="X522" si="822">100%-(V522/$F522)</f>
        <v>0</v>
      </c>
      <c r="Y522" s="69"/>
      <c r="Z522" s="68">
        <f t="shared" si="793"/>
        <v>0</v>
      </c>
      <c r="AA522" s="68">
        <f t="shared" si="812"/>
        <v>19280.400000000001</v>
      </c>
      <c r="AB522" s="69">
        <f t="shared" si="760"/>
        <v>10</v>
      </c>
      <c r="AC522" s="70">
        <f t="shared" ref="AC522" si="823">100%-(AA522/$F522)</f>
        <v>0</v>
      </c>
      <c r="AD522" s="69"/>
      <c r="AE522" s="68">
        <f>AD522*I522</f>
        <v>0</v>
      </c>
      <c r="AF522" s="68">
        <f>F522-AE522</f>
        <v>19280.400000000001</v>
      </c>
      <c r="AG522" s="69">
        <f>G522-AD522</f>
        <v>10</v>
      </c>
      <c r="AH522" s="70">
        <f t="shared" ref="AH522" si="824">100%-(AF522/$F522)</f>
        <v>0</v>
      </c>
    </row>
    <row r="523" spans="1:34" ht="15" customHeight="1" outlineLevel="2" x14ac:dyDescent="0.25">
      <c r="B523" s="71">
        <v>2705</v>
      </c>
      <c r="C523" s="56" t="s">
        <v>274</v>
      </c>
      <c r="E523" s="73">
        <v>8031.56</v>
      </c>
      <c r="F523" s="74">
        <f t="shared" si="789"/>
        <v>10220.85</v>
      </c>
      <c r="G523" s="75">
        <v>1</v>
      </c>
      <c r="H523" s="56" t="s">
        <v>34</v>
      </c>
      <c r="I523" s="73">
        <f t="shared" si="769"/>
        <v>10220.85</v>
      </c>
      <c r="K523" s="68">
        <f t="shared" si="804"/>
        <v>0</v>
      </c>
      <c r="L523" s="62">
        <f t="shared" si="813"/>
        <v>0</v>
      </c>
      <c r="M523" s="69">
        <f t="shared" si="761"/>
        <v>0</v>
      </c>
      <c r="P523" s="68">
        <f t="shared" si="806"/>
        <v>0</v>
      </c>
      <c r="Q523" s="62">
        <f t="shared" si="815"/>
        <v>0</v>
      </c>
      <c r="R523" s="69">
        <f t="shared" si="762"/>
        <v>0</v>
      </c>
      <c r="U523" s="68">
        <f t="shared" si="798"/>
        <v>0</v>
      </c>
      <c r="V523" s="62">
        <f t="shared" si="811"/>
        <v>0</v>
      </c>
      <c r="W523" s="69">
        <f t="shared" si="763"/>
        <v>0</v>
      </c>
      <c r="Z523" s="68">
        <f t="shared" si="793"/>
        <v>0</v>
      </c>
      <c r="AA523" s="68">
        <f t="shared" si="812"/>
        <v>0</v>
      </c>
      <c r="AB523" s="69">
        <f t="shared" si="760"/>
        <v>0</v>
      </c>
      <c r="AD523" s="75">
        <f>AD522*G523/G522</f>
        <v>0</v>
      </c>
    </row>
    <row r="524" spans="1:34" ht="15" customHeight="1" outlineLevel="2" x14ac:dyDescent="0.25">
      <c r="B524" s="71">
        <v>2700</v>
      </c>
      <c r="C524" s="56" t="s">
        <v>277</v>
      </c>
      <c r="E524" s="73">
        <v>7119</v>
      </c>
      <c r="F524" s="74">
        <f t="shared" si="789"/>
        <v>9059.5400000000009</v>
      </c>
      <c r="G524" s="75">
        <v>1</v>
      </c>
      <c r="H524" s="56" t="s">
        <v>34</v>
      </c>
      <c r="I524" s="73">
        <f t="shared" si="769"/>
        <v>9059.5400000000009</v>
      </c>
      <c r="K524" s="68">
        <f t="shared" si="804"/>
        <v>0</v>
      </c>
      <c r="L524" s="62">
        <f t="shared" si="813"/>
        <v>0</v>
      </c>
      <c r="M524" s="69">
        <f t="shared" si="761"/>
        <v>0</v>
      </c>
      <c r="P524" s="68">
        <f t="shared" si="806"/>
        <v>0</v>
      </c>
      <c r="Q524" s="62">
        <f t="shared" si="815"/>
        <v>0</v>
      </c>
      <c r="R524" s="69">
        <f t="shared" si="762"/>
        <v>0</v>
      </c>
      <c r="U524" s="68">
        <f t="shared" si="798"/>
        <v>0</v>
      </c>
      <c r="V524" s="62">
        <f t="shared" si="811"/>
        <v>0</v>
      </c>
      <c r="W524" s="69">
        <f t="shared" si="763"/>
        <v>0</v>
      </c>
      <c r="Z524" s="68">
        <f t="shared" si="793"/>
        <v>0</v>
      </c>
      <c r="AA524" s="68">
        <f t="shared" si="812"/>
        <v>0</v>
      </c>
      <c r="AB524" s="69">
        <f t="shared" si="760"/>
        <v>0</v>
      </c>
      <c r="AD524" s="75">
        <f>AD522*G524/G522</f>
        <v>0</v>
      </c>
    </row>
    <row r="525" spans="1:34" ht="15" customHeight="1" outlineLevel="1" x14ac:dyDescent="0.25">
      <c r="A525" s="67"/>
      <c r="B525" s="66"/>
      <c r="C525" s="67" t="s">
        <v>281</v>
      </c>
      <c r="D525" s="68"/>
      <c r="E525" s="68">
        <v>3936.39</v>
      </c>
      <c r="F525" s="68">
        <f t="shared" si="789"/>
        <v>5009.3999999999996</v>
      </c>
      <c r="G525" s="69">
        <v>100</v>
      </c>
      <c r="H525" s="67" t="s">
        <v>40</v>
      </c>
      <c r="I525" s="68">
        <f t="shared" si="769"/>
        <v>50.093999999999994</v>
      </c>
      <c r="J525" s="69"/>
      <c r="K525" s="68">
        <f t="shared" si="804"/>
        <v>0</v>
      </c>
      <c r="L525" s="62">
        <f t="shared" si="813"/>
        <v>5009.3999999999996</v>
      </c>
      <c r="M525" s="69">
        <f t="shared" si="761"/>
        <v>100</v>
      </c>
      <c r="N525" s="70">
        <f t="shared" ref="N525" si="825">100%-(L525/$F525)</f>
        <v>0</v>
      </c>
      <c r="O525" s="69"/>
      <c r="P525" s="68">
        <f t="shared" si="806"/>
        <v>0</v>
      </c>
      <c r="Q525" s="62">
        <f t="shared" si="815"/>
        <v>5009.3999999999996</v>
      </c>
      <c r="R525" s="69">
        <f t="shared" si="762"/>
        <v>100</v>
      </c>
      <c r="S525" s="70">
        <f t="shared" ref="S525" si="826">100%-(Q525/$F525)</f>
        <v>0</v>
      </c>
      <c r="T525" s="69"/>
      <c r="U525" s="68">
        <f t="shared" si="798"/>
        <v>0</v>
      </c>
      <c r="V525" s="62">
        <f t="shared" si="811"/>
        <v>5009.3999999999996</v>
      </c>
      <c r="W525" s="69">
        <f t="shared" si="763"/>
        <v>100</v>
      </c>
      <c r="X525" s="70">
        <f t="shared" ref="X525" si="827">100%-(V525/$F525)</f>
        <v>0</v>
      </c>
      <c r="Y525" s="69"/>
      <c r="Z525" s="68">
        <f t="shared" si="793"/>
        <v>0</v>
      </c>
      <c r="AA525" s="68">
        <f t="shared" si="812"/>
        <v>5009.3999999999996</v>
      </c>
      <c r="AB525" s="69">
        <f t="shared" si="760"/>
        <v>100</v>
      </c>
      <c r="AC525" s="70">
        <f t="shared" ref="AC525" si="828">100%-(AA525/$F525)</f>
        <v>0</v>
      </c>
      <c r="AD525" s="69"/>
      <c r="AE525" s="68">
        <f>AD525*I525</f>
        <v>0</v>
      </c>
      <c r="AF525" s="68">
        <f>F525-AE525</f>
        <v>5009.3999999999996</v>
      </c>
      <c r="AG525" s="69">
        <f>G525-AD525</f>
        <v>100</v>
      </c>
      <c r="AH525" s="70">
        <f t="shared" ref="AH525" si="829">100%-(AF525/$F525)</f>
        <v>0</v>
      </c>
    </row>
    <row r="526" spans="1:34" ht="15" customHeight="1" outlineLevel="2" x14ac:dyDescent="0.25">
      <c r="B526" s="71">
        <v>2705</v>
      </c>
      <c r="C526" s="56" t="s">
        <v>274</v>
      </c>
      <c r="E526" s="73">
        <v>643.80999999999995</v>
      </c>
      <c r="F526" s="74">
        <f t="shared" si="789"/>
        <v>819.3</v>
      </c>
      <c r="G526" s="75">
        <v>1</v>
      </c>
      <c r="H526" s="56" t="s">
        <v>34</v>
      </c>
      <c r="I526" s="73">
        <f t="shared" si="769"/>
        <v>819.3</v>
      </c>
      <c r="K526" s="68">
        <f t="shared" si="804"/>
        <v>0</v>
      </c>
      <c r="L526" s="62">
        <f t="shared" si="813"/>
        <v>0</v>
      </c>
      <c r="M526" s="69">
        <f t="shared" si="761"/>
        <v>0</v>
      </c>
      <c r="P526" s="68">
        <f t="shared" si="806"/>
        <v>0</v>
      </c>
      <c r="Q526" s="62">
        <f t="shared" si="815"/>
        <v>0</v>
      </c>
      <c r="R526" s="69">
        <f t="shared" si="762"/>
        <v>0</v>
      </c>
      <c r="U526" s="68">
        <f t="shared" si="798"/>
        <v>0</v>
      </c>
      <c r="V526" s="62">
        <f t="shared" si="811"/>
        <v>0</v>
      </c>
      <c r="W526" s="69">
        <f t="shared" si="763"/>
        <v>0</v>
      </c>
      <c r="Z526" s="68">
        <f t="shared" si="793"/>
        <v>0</v>
      </c>
      <c r="AA526" s="68">
        <f t="shared" si="812"/>
        <v>0</v>
      </c>
      <c r="AB526" s="69">
        <f t="shared" si="760"/>
        <v>0</v>
      </c>
      <c r="AD526" s="75">
        <f>AD525*G526/G525</f>
        <v>0</v>
      </c>
    </row>
    <row r="527" spans="1:34" outlineLevel="2" x14ac:dyDescent="0.25">
      <c r="B527" s="71">
        <v>2700</v>
      </c>
      <c r="C527" s="56" t="s">
        <v>277</v>
      </c>
      <c r="E527" s="73">
        <v>3292.58</v>
      </c>
      <c r="F527" s="74">
        <f t="shared" si="789"/>
        <v>4190.09</v>
      </c>
      <c r="G527" s="75">
        <v>1</v>
      </c>
      <c r="H527" s="56" t="s">
        <v>34</v>
      </c>
      <c r="I527" s="73">
        <f t="shared" si="769"/>
        <v>4190.09</v>
      </c>
      <c r="K527" s="68">
        <f t="shared" si="804"/>
        <v>0</v>
      </c>
      <c r="L527" s="62">
        <f t="shared" si="813"/>
        <v>0</v>
      </c>
      <c r="M527" s="69">
        <f t="shared" si="761"/>
        <v>0</v>
      </c>
      <c r="P527" s="68">
        <f t="shared" si="806"/>
        <v>0</v>
      </c>
      <c r="Q527" s="62">
        <f t="shared" si="815"/>
        <v>0</v>
      </c>
      <c r="R527" s="69">
        <f t="shared" si="762"/>
        <v>0</v>
      </c>
      <c r="U527" s="68">
        <f t="shared" si="798"/>
        <v>0</v>
      </c>
      <c r="V527" s="62">
        <f t="shared" si="811"/>
        <v>0</v>
      </c>
      <c r="W527" s="69">
        <f t="shared" si="763"/>
        <v>0</v>
      </c>
      <c r="Z527" s="68">
        <f t="shared" si="793"/>
        <v>0</v>
      </c>
      <c r="AA527" s="68">
        <f t="shared" si="812"/>
        <v>0</v>
      </c>
      <c r="AB527" s="69">
        <f t="shared" si="760"/>
        <v>0</v>
      </c>
      <c r="AD527" s="75">
        <f>AD525*G527/G525</f>
        <v>0</v>
      </c>
    </row>
    <row r="528" spans="1:34" outlineLevel="1" x14ac:dyDescent="0.25">
      <c r="A528" s="67"/>
      <c r="B528" s="66"/>
      <c r="C528" s="67" t="s">
        <v>282</v>
      </c>
      <c r="D528" s="68"/>
      <c r="E528" s="68">
        <v>3518.26</v>
      </c>
      <c r="F528" s="68">
        <f t="shared" si="789"/>
        <v>4477.29</v>
      </c>
      <c r="G528" s="69">
        <v>1054</v>
      </c>
      <c r="H528" s="67" t="s">
        <v>40</v>
      </c>
      <c r="I528" s="68">
        <f t="shared" si="769"/>
        <v>4.2479032258064517</v>
      </c>
      <c r="J528" s="69"/>
      <c r="K528" s="68">
        <f t="shared" si="804"/>
        <v>0</v>
      </c>
      <c r="L528" s="62">
        <f t="shared" si="813"/>
        <v>4477.29</v>
      </c>
      <c r="M528" s="69">
        <f t="shared" si="761"/>
        <v>1054</v>
      </c>
      <c r="N528" s="70">
        <f t="shared" ref="N528" si="830">100%-(L528/$F528)</f>
        <v>0</v>
      </c>
      <c r="O528" s="69"/>
      <c r="P528" s="68">
        <f t="shared" si="806"/>
        <v>0</v>
      </c>
      <c r="Q528" s="62">
        <f t="shared" si="815"/>
        <v>4477.29</v>
      </c>
      <c r="R528" s="69">
        <f t="shared" si="762"/>
        <v>1054</v>
      </c>
      <c r="S528" s="70">
        <f t="shared" ref="S528" si="831">100%-(Q528/$F528)</f>
        <v>0</v>
      </c>
      <c r="T528" s="69"/>
      <c r="U528" s="68">
        <f t="shared" si="798"/>
        <v>0</v>
      </c>
      <c r="V528" s="62">
        <f t="shared" si="811"/>
        <v>4477.29</v>
      </c>
      <c r="W528" s="69">
        <f t="shared" si="763"/>
        <v>1054</v>
      </c>
      <c r="X528" s="70">
        <f t="shared" ref="X528" si="832">100%-(V528/$F528)</f>
        <v>0</v>
      </c>
      <c r="Y528" s="69"/>
      <c r="Z528" s="68">
        <f t="shared" si="793"/>
        <v>0</v>
      </c>
      <c r="AA528" s="68">
        <f t="shared" si="812"/>
        <v>4477.29</v>
      </c>
      <c r="AB528" s="69">
        <f t="shared" si="760"/>
        <v>1054</v>
      </c>
      <c r="AC528" s="70">
        <f t="shared" ref="AC528" si="833">100%-(AA528/$F528)</f>
        <v>0</v>
      </c>
      <c r="AD528" s="69"/>
      <c r="AE528" s="68">
        <f>AD528*I528</f>
        <v>0</v>
      </c>
      <c r="AF528" s="68">
        <f>F528-AE528</f>
        <v>4477.29</v>
      </c>
      <c r="AG528" s="69">
        <f>G528-AD528</f>
        <v>1054</v>
      </c>
      <c r="AH528" s="70">
        <f t="shared" ref="AH528" si="834">100%-(AF528/$F528)</f>
        <v>0</v>
      </c>
    </row>
    <row r="529" spans="1:34" outlineLevel="2" x14ac:dyDescent="0.25">
      <c r="B529" s="71">
        <v>2705</v>
      </c>
      <c r="C529" s="56" t="s">
        <v>274</v>
      </c>
      <c r="E529" s="73">
        <v>1221.52</v>
      </c>
      <c r="F529" s="74">
        <f t="shared" si="789"/>
        <v>1554.49</v>
      </c>
      <c r="G529" s="75">
        <v>1</v>
      </c>
      <c r="H529" s="56" t="s">
        <v>34</v>
      </c>
      <c r="I529" s="73">
        <f t="shared" si="769"/>
        <v>1554.49</v>
      </c>
      <c r="K529" s="68">
        <f t="shared" si="804"/>
        <v>0</v>
      </c>
      <c r="L529" s="62">
        <f t="shared" si="813"/>
        <v>0</v>
      </c>
      <c r="M529" s="69">
        <f t="shared" si="761"/>
        <v>0</v>
      </c>
      <c r="P529" s="68">
        <f t="shared" si="806"/>
        <v>0</v>
      </c>
      <c r="Q529" s="62">
        <f t="shared" si="815"/>
        <v>0</v>
      </c>
      <c r="R529" s="69">
        <f t="shared" si="762"/>
        <v>0</v>
      </c>
      <c r="U529" s="68">
        <f t="shared" si="798"/>
        <v>0</v>
      </c>
      <c r="V529" s="62">
        <f t="shared" si="811"/>
        <v>0</v>
      </c>
      <c r="W529" s="69">
        <f t="shared" si="763"/>
        <v>0</v>
      </c>
      <c r="Z529" s="68">
        <f t="shared" si="793"/>
        <v>0</v>
      </c>
      <c r="AA529" s="68">
        <f t="shared" si="812"/>
        <v>0</v>
      </c>
      <c r="AB529" s="69">
        <f t="shared" si="760"/>
        <v>0</v>
      </c>
      <c r="AD529" s="75">
        <f>AD528*G529/G528</f>
        <v>0</v>
      </c>
    </row>
    <row r="530" spans="1:34" outlineLevel="2" x14ac:dyDescent="0.25">
      <c r="B530" s="71">
        <v>2700</v>
      </c>
      <c r="C530" s="56" t="s">
        <v>277</v>
      </c>
      <c r="E530" s="73">
        <v>2296.7399999999998</v>
      </c>
      <c r="F530" s="74">
        <f t="shared" si="789"/>
        <v>2922.8</v>
      </c>
      <c r="G530" s="75">
        <v>1</v>
      </c>
      <c r="H530" s="56" t="s">
        <v>34</v>
      </c>
      <c r="I530" s="73">
        <f t="shared" si="769"/>
        <v>2922.8</v>
      </c>
      <c r="K530" s="68">
        <f t="shared" si="804"/>
        <v>0</v>
      </c>
      <c r="L530" s="62">
        <f t="shared" si="813"/>
        <v>0</v>
      </c>
      <c r="M530" s="69">
        <f t="shared" si="761"/>
        <v>0</v>
      </c>
      <c r="P530" s="68">
        <f t="shared" si="806"/>
        <v>0</v>
      </c>
      <c r="Q530" s="62">
        <f t="shared" si="815"/>
        <v>0</v>
      </c>
      <c r="R530" s="69">
        <f t="shared" si="762"/>
        <v>0</v>
      </c>
      <c r="U530" s="68">
        <f t="shared" si="798"/>
        <v>0</v>
      </c>
      <c r="V530" s="62">
        <f t="shared" si="811"/>
        <v>0</v>
      </c>
      <c r="W530" s="69">
        <f t="shared" si="763"/>
        <v>0</v>
      </c>
      <c r="Z530" s="68">
        <f t="shared" si="793"/>
        <v>0</v>
      </c>
      <c r="AA530" s="68">
        <f t="shared" si="812"/>
        <v>0</v>
      </c>
      <c r="AB530" s="69">
        <f t="shared" si="760"/>
        <v>0</v>
      </c>
      <c r="AD530" s="75">
        <f>AD528*G530/G528</f>
        <v>0</v>
      </c>
    </row>
    <row r="531" spans="1:34" outlineLevel="1" x14ac:dyDescent="0.25">
      <c r="A531" s="67"/>
      <c r="B531" s="66"/>
      <c r="C531" s="67" t="s">
        <v>283</v>
      </c>
      <c r="D531" s="68"/>
      <c r="E531" s="68">
        <v>1579.09</v>
      </c>
      <c r="F531" s="68">
        <f t="shared" si="789"/>
        <v>2009.53</v>
      </c>
      <c r="G531" s="69">
        <v>100</v>
      </c>
      <c r="H531" s="67" t="s">
        <v>41</v>
      </c>
      <c r="I531" s="68">
        <f t="shared" si="769"/>
        <v>20.095299999999998</v>
      </c>
      <c r="J531" s="69"/>
      <c r="K531" s="68">
        <f t="shared" si="804"/>
        <v>0</v>
      </c>
      <c r="L531" s="62">
        <f t="shared" si="813"/>
        <v>0</v>
      </c>
      <c r="M531" s="69">
        <f t="shared" si="761"/>
        <v>0</v>
      </c>
      <c r="N531" s="70">
        <f t="shared" ref="N531" si="835">100%-(L531/$F531)</f>
        <v>1</v>
      </c>
      <c r="O531" s="69">
        <v>100</v>
      </c>
      <c r="P531" s="68">
        <f t="shared" si="806"/>
        <v>2009.5299999999997</v>
      </c>
      <c r="Q531" s="62">
        <f t="shared" si="815"/>
        <v>0</v>
      </c>
      <c r="R531" s="69">
        <f t="shared" si="762"/>
        <v>0</v>
      </c>
      <c r="S531" s="70">
        <f t="shared" ref="S531" si="836">100%-(Q531/$F531)</f>
        <v>1</v>
      </c>
      <c r="T531" s="69"/>
      <c r="U531" s="68">
        <f t="shared" si="798"/>
        <v>0</v>
      </c>
      <c r="V531" s="62">
        <f t="shared" si="811"/>
        <v>2009.53</v>
      </c>
      <c r="W531" s="69">
        <f t="shared" si="763"/>
        <v>100</v>
      </c>
      <c r="X531" s="70">
        <f t="shared" ref="X531" si="837">100%-(V531/$F531)</f>
        <v>0</v>
      </c>
      <c r="Y531" s="69"/>
      <c r="Z531" s="68">
        <f t="shared" si="793"/>
        <v>0</v>
      </c>
      <c r="AA531" s="68">
        <f t="shared" si="812"/>
        <v>2009.53</v>
      </c>
      <c r="AB531" s="69">
        <f t="shared" si="760"/>
        <v>100</v>
      </c>
      <c r="AC531" s="70">
        <f t="shared" ref="AC531" si="838">100%-(AA531/$F531)</f>
        <v>0</v>
      </c>
      <c r="AD531" s="69"/>
      <c r="AE531" s="68">
        <f>AD531*I531</f>
        <v>0</v>
      </c>
      <c r="AF531" s="68">
        <f>F531-AE531</f>
        <v>2009.53</v>
      </c>
      <c r="AG531" s="69">
        <f>G531-AD531</f>
        <v>100</v>
      </c>
      <c r="AH531" s="70">
        <f t="shared" ref="AH531" si="839">100%-(AF531/$F531)</f>
        <v>0</v>
      </c>
    </row>
    <row r="532" spans="1:34" outlineLevel="2" x14ac:dyDescent="0.25">
      <c r="B532" s="71">
        <v>2156</v>
      </c>
      <c r="C532" s="56" t="s">
        <v>82</v>
      </c>
      <c r="E532" s="73">
        <v>287.64</v>
      </c>
      <c r="F532" s="74">
        <f t="shared" si="789"/>
        <v>366.05</v>
      </c>
      <c r="G532" s="75">
        <v>100</v>
      </c>
      <c r="H532" s="56" t="s">
        <v>41</v>
      </c>
      <c r="I532" s="73">
        <f t="shared" si="769"/>
        <v>3.6605000000000003</v>
      </c>
      <c r="K532" s="68">
        <f t="shared" si="804"/>
        <v>0</v>
      </c>
      <c r="L532" s="62">
        <f t="shared" si="813"/>
        <v>0</v>
      </c>
      <c r="M532" s="69">
        <f t="shared" si="761"/>
        <v>0</v>
      </c>
      <c r="P532" s="68">
        <f t="shared" si="806"/>
        <v>0</v>
      </c>
      <c r="Q532" s="62">
        <f t="shared" si="815"/>
        <v>0</v>
      </c>
      <c r="R532" s="69">
        <f t="shared" si="762"/>
        <v>0</v>
      </c>
      <c r="U532" s="68">
        <f t="shared" si="798"/>
        <v>0</v>
      </c>
      <c r="V532" s="62">
        <f t="shared" si="811"/>
        <v>0</v>
      </c>
      <c r="W532" s="69">
        <f t="shared" si="763"/>
        <v>0</v>
      </c>
      <c r="Z532" s="68">
        <f t="shared" si="793"/>
        <v>0</v>
      </c>
      <c r="AA532" s="68">
        <f t="shared" si="812"/>
        <v>0</v>
      </c>
      <c r="AB532" s="69">
        <f t="shared" si="760"/>
        <v>0</v>
      </c>
      <c r="AD532" s="75">
        <f>$AD$531*G532/$G$531</f>
        <v>0</v>
      </c>
    </row>
    <row r="533" spans="1:34" outlineLevel="2" x14ac:dyDescent="0.25">
      <c r="B533" s="71">
        <v>2183</v>
      </c>
      <c r="C533" s="56" t="s">
        <v>80</v>
      </c>
      <c r="E533" s="73">
        <v>38.85</v>
      </c>
      <c r="F533" s="74">
        <f t="shared" si="789"/>
        <v>49.44</v>
      </c>
      <c r="G533" s="75">
        <v>3.5</v>
      </c>
      <c r="H533" s="56" t="s">
        <v>43</v>
      </c>
      <c r="I533" s="73">
        <f t="shared" si="769"/>
        <v>14.125714285714285</v>
      </c>
      <c r="K533" s="68">
        <f t="shared" si="804"/>
        <v>0</v>
      </c>
      <c r="L533" s="62">
        <f t="shared" si="813"/>
        <v>0</v>
      </c>
      <c r="M533" s="69">
        <f t="shared" si="761"/>
        <v>0</v>
      </c>
      <c r="P533" s="68">
        <f t="shared" si="806"/>
        <v>0</v>
      </c>
      <c r="Q533" s="62">
        <f t="shared" si="815"/>
        <v>0</v>
      </c>
      <c r="R533" s="69">
        <f t="shared" si="762"/>
        <v>0</v>
      </c>
      <c r="U533" s="68">
        <f t="shared" si="798"/>
        <v>0</v>
      </c>
      <c r="V533" s="62">
        <f t="shared" si="811"/>
        <v>0</v>
      </c>
      <c r="W533" s="69">
        <f t="shared" si="763"/>
        <v>0</v>
      </c>
      <c r="Z533" s="68">
        <f t="shared" si="793"/>
        <v>0</v>
      </c>
      <c r="AA533" s="68">
        <f t="shared" si="812"/>
        <v>0</v>
      </c>
      <c r="AB533" s="69">
        <f t="shared" si="760"/>
        <v>0</v>
      </c>
      <c r="AD533" s="75">
        <f>$AD$531*G533/$G$531</f>
        <v>0</v>
      </c>
    </row>
    <row r="534" spans="1:34" outlineLevel="2" x14ac:dyDescent="0.25">
      <c r="B534" s="71">
        <v>2149</v>
      </c>
      <c r="C534" s="56" t="s">
        <v>48</v>
      </c>
      <c r="E534" s="73">
        <v>19.78</v>
      </c>
      <c r="F534" s="74">
        <f t="shared" si="789"/>
        <v>25.17</v>
      </c>
      <c r="G534" s="75">
        <v>3.5</v>
      </c>
      <c r="H534" s="56" t="s">
        <v>43</v>
      </c>
      <c r="I534" s="73">
        <f t="shared" si="769"/>
        <v>7.1914285714285722</v>
      </c>
      <c r="K534" s="68">
        <f t="shared" si="804"/>
        <v>0</v>
      </c>
      <c r="L534" s="62">
        <f t="shared" si="813"/>
        <v>0</v>
      </c>
      <c r="M534" s="69">
        <f t="shared" si="761"/>
        <v>0</v>
      </c>
      <c r="P534" s="68">
        <f t="shared" si="806"/>
        <v>0</v>
      </c>
      <c r="Q534" s="62">
        <f t="shared" si="815"/>
        <v>0</v>
      </c>
      <c r="R534" s="69">
        <f t="shared" si="762"/>
        <v>0</v>
      </c>
      <c r="U534" s="68">
        <f t="shared" si="798"/>
        <v>0</v>
      </c>
      <c r="V534" s="62">
        <f t="shared" si="811"/>
        <v>0</v>
      </c>
      <c r="W534" s="69">
        <f t="shared" si="763"/>
        <v>0</v>
      </c>
      <c r="Z534" s="68">
        <f t="shared" si="793"/>
        <v>0</v>
      </c>
      <c r="AA534" s="68">
        <f t="shared" si="812"/>
        <v>0</v>
      </c>
      <c r="AB534" s="69">
        <f t="shared" si="760"/>
        <v>0</v>
      </c>
      <c r="AD534" s="75">
        <f>$AD$531*G534/$G$531</f>
        <v>0</v>
      </c>
    </row>
    <row r="535" spans="1:34" outlineLevel="2" x14ac:dyDescent="0.25">
      <c r="B535" s="71">
        <v>3254</v>
      </c>
      <c r="C535" s="56" t="s">
        <v>84</v>
      </c>
      <c r="E535" s="73">
        <v>780.81</v>
      </c>
      <c r="F535" s="74">
        <f t="shared" si="789"/>
        <v>993.65</v>
      </c>
      <c r="G535" s="75">
        <v>100</v>
      </c>
      <c r="H535" s="56" t="s">
        <v>41</v>
      </c>
      <c r="I535" s="73">
        <f t="shared" si="769"/>
        <v>9.9365000000000006</v>
      </c>
      <c r="K535" s="68">
        <f t="shared" si="804"/>
        <v>0</v>
      </c>
      <c r="L535" s="62">
        <f t="shared" si="813"/>
        <v>0</v>
      </c>
      <c r="M535" s="69">
        <f t="shared" si="761"/>
        <v>0</v>
      </c>
      <c r="P535" s="68">
        <f t="shared" si="806"/>
        <v>0</v>
      </c>
      <c r="Q535" s="62">
        <f t="shared" si="815"/>
        <v>0</v>
      </c>
      <c r="R535" s="69">
        <f t="shared" si="762"/>
        <v>0</v>
      </c>
      <c r="U535" s="68">
        <f t="shared" si="798"/>
        <v>0</v>
      </c>
      <c r="V535" s="62">
        <f t="shared" si="811"/>
        <v>0</v>
      </c>
      <c r="W535" s="69">
        <f t="shared" si="763"/>
        <v>0</v>
      </c>
      <c r="Z535" s="68">
        <f t="shared" si="793"/>
        <v>0</v>
      </c>
      <c r="AA535" s="68">
        <f t="shared" si="812"/>
        <v>0</v>
      </c>
      <c r="AB535" s="69">
        <f t="shared" si="760"/>
        <v>0</v>
      </c>
      <c r="AD535" s="75">
        <f>$AD$531*G535/$G$531</f>
        <v>0</v>
      </c>
    </row>
    <row r="536" spans="1:34" outlineLevel="2" x14ac:dyDescent="0.25">
      <c r="B536" s="71">
        <v>3710</v>
      </c>
      <c r="C536" s="56" t="s">
        <v>286</v>
      </c>
      <c r="E536" s="73">
        <v>452.02</v>
      </c>
      <c r="F536" s="74">
        <f t="shared" si="789"/>
        <v>575.23</v>
      </c>
      <c r="G536" s="75">
        <v>50</v>
      </c>
      <c r="H536" s="56" t="s">
        <v>40</v>
      </c>
      <c r="I536" s="73">
        <f t="shared" si="769"/>
        <v>11.5046</v>
      </c>
      <c r="K536" s="68">
        <f t="shared" si="804"/>
        <v>0</v>
      </c>
      <c r="L536" s="62">
        <f t="shared" si="813"/>
        <v>0</v>
      </c>
      <c r="M536" s="69">
        <f t="shared" si="761"/>
        <v>0</v>
      </c>
      <c r="P536" s="68">
        <f t="shared" si="806"/>
        <v>0</v>
      </c>
      <c r="Q536" s="62">
        <f t="shared" si="815"/>
        <v>0</v>
      </c>
      <c r="R536" s="69">
        <f t="shared" si="762"/>
        <v>0</v>
      </c>
      <c r="U536" s="68">
        <f t="shared" si="798"/>
        <v>0</v>
      </c>
      <c r="V536" s="62">
        <f t="shared" si="811"/>
        <v>0</v>
      </c>
      <c r="W536" s="69">
        <f t="shared" si="763"/>
        <v>0</v>
      </c>
      <c r="Z536" s="68">
        <f t="shared" si="793"/>
        <v>0</v>
      </c>
      <c r="AA536" s="68">
        <f t="shared" si="812"/>
        <v>0</v>
      </c>
      <c r="AB536" s="69">
        <f t="shared" si="760"/>
        <v>0</v>
      </c>
      <c r="AD536" s="75">
        <f>$AD$531*G536/$G$531</f>
        <v>0</v>
      </c>
    </row>
    <row r="537" spans="1:34" outlineLevel="1" x14ac:dyDescent="0.25">
      <c r="A537" s="67"/>
      <c r="B537" s="66"/>
      <c r="C537" s="67" t="s">
        <v>287</v>
      </c>
      <c r="D537" s="68"/>
      <c r="E537" s="68">
        <v>6027.36</v>
      </c>
      <c r="F537" s="68">
        <f t="shared" si="789"/>
        <v>7670.34</v>
      </c>
      <c r="G537" s="69">
        <v>1</v>
      </c>
      <c r="H537" s="67" t="s">
        <v>39</v>
      </c>
      <c r="I537" s="68">
        <f t="shared" si="769"/>
        <v>7670.34</v>
      </c>
      <c r="J537" s="69"/>
      <c r="K537" s="68">
        <f t="shared" si="804"/>
        <v>0</v>
      </c>
      <c r="L537" s="62">
        <f t="shared" si="813"/>
        <v>0</v>
      </c>
      <c r="M537" s="69">
        <f t="shared" si="761"/>
        <v>0</v>
      </c>
      <c r="N537" s="70">
        <f t="shared" ref="N537" si="840">100%-(L537/$F537)</f>
        <v>1</v>
      </c>
      <c r="O537" s="69">
        <v>1</v>
      </c>
      <c r="P537" s="68">
        <f t="shared" si="806"/>
        <v>7670.34</v>
      </c>
      <c r="Q537" s="62">
        <f t="shared" si="815"/>
        <v>0</v>
      </c>
      <c r="R537" s="69">
        <f t="shared" si="762"/>
        <v>0</v>
      </c>
      <c r="S537" s="70">
        <f t="shared" ref="S537" si="841">100%-(Q537/$F537)</f>
        <v>1</v>
      </c>
      <c r="T537" s="69"/>
      <c r="U537" s="68">
        <f t="shared" si="798"/>
        <v>0</v>
      </c>
      <c r="V537" s="62">
        <f t="shared" si="811"/>
        <v>7670.34</v>
      </c>
      <c r="W537" s="69">
        <f t="shared" si="763"/>
        <v>1</v>
      </c>
      <c r="X537" s="70">
        <f t="shared" ref="X537" si="842">100%-(V537/$F537)</f>
        <v>0</v>
      </c>
      <c r="Y537" s="69"/>
      <c r="Z537" s="68">
        <f t="shared" si="793"/>
        <v>0</v>
      </c>
      <c r="AA537" s="68">
        <f t="shared" si="812"/>
        <v>7670.34</v>
      </c>
      <c r="AB537" s="69">
        <f t="shared" si="760"/>
        <v>1</v>
      </c>
      <c r="AC537" s="70">
        <f t="shared" ref="AC537" si="843">100%-(AA537/$F537)</f>
        <v>0</v>
      </c>
      <c r="AD537" s="69"/>
      <c r="AE537" s="68">
        <f>AD537*I537</f>
        <v>0</v>
      </c>
      <c r="AF537" s="68">
        <f>F537-AE537</f>
        <v>7670.34</v>
      </c>
      <c r="AG537" s="69">
        <f>G537-AD537</f>
        <v>1</v>
      </c>
      <c r="AH537" s="70">
        <f t="shared" ref="AH537" si="844">100%-(AF537/$F537)</f>
        <v>0</v>
      </c>
    </row>
    <row r="538" spans="1:34" outlineLevel="2" x14ac:dyDescent="0.25">
      <c r="B538" s="71">
        <v>2156</v>
      </c>
      <c r="C538" s="56" t="s">
        <v>82</v>
      </c>
      <c r="E538" s="73">
        <v>1052.07</v>
      </c>
      <c r="F538" s="74">
        <f t="shared" si="789"/>
        <v>1338.85</v>
      </c>
      <c r="G538" s="75">
        <v>254</v>
      </c>
      <c r="H538" s="56" t="s">
        <v>41</v>
      </c>
      <c r="I538" s="73">
        <f t="shared" si="769"/>
        <v>5.2710629921259837</v>
      </c>
      <c r="K538" s="68">
        <f t="shared" si="804"/>
        <v>0</v>
      </c>
      <c r="L538" s="62">
        <f t="shared" si="813"/>
        <v>0</v>
      </c>
      <c r="M538" s="69">
        <f t="shared" si="761"/>
        <v>0</v>
      </c>
      <c r="P538" s="68">
        <f t="shared" si="806"/>
        <v>0</v>
      </c>
      <c r="Q538" s="62">
        <f t="shared" si="815"/>
        <v>0</v>
      </c>
      <c r="R538" s="69">
        <f t="shared" si="762"/>
        <v>0</v>
      </c>
      <c r="U538" s="68">
        <f t="shared" si="798"/>
        <v>0</v>
      </c>
      <c r="V538" s="62">
        <f t="shared" si="811"/>
        <v>0</v>
      </c>
      <c r="W538" s="69">
        <f t="shared" si="763"/>
        <v>0</v>
      </c>
      <c r="Z538" s="68">
        <f t="shared" si="793"/>
        <v>0</v>
      </c>
      <c r="AA538" s="68">
        <f t="shared" si="812"/>
        <v>0</v>
      </c>
      <c r="AB538" s="69">
        <f t="shared" si="760"/>
        <v>0</v>
      </c>
      <c r="AD538" s="75">
        <f t="shared" ref="AD538:AD543" si="845">$AD$537*G538/$G$537</f>
        <v>0</v>
      </c>
    </row>
    <row r="539" spans="1:34" outlineLevel="2" x14ac:dyDescent="0.25">
      <c r="B539" s="71">
        <v>2183</v>
      </c>
      <c r="C539" s="56" t="s">
        <v>80</v>
      </c>
      <c r="E539" s="73">
        <v>180.91</v>
      </c>
      <c r="F539" s="74">
        <f t="shared" si="789"/>
        <v>230.22</v>
      </c>
      <c r="G539" s="75">
        <v>16.3</v>
      </c>
      <c r="H539" s="56" t="s">
        <v>43</v>
      </c>
      <c r="I539" s="73">
        <f t="shared" si="769"/>
        <v>14.123926380368097</v>
      </c>
      <c r="K539" s="68">
        <f t="shared" si="804"/>
        <v>0</v>
      </c>
      <c r="L539" s="62">
        <f t="shared" si="813"/>
        <v>0</v>
      </c>
      <c r="M539" s="69">
        <f t="shared" si="761"/>
        <v>0</v>
      </c>
      <c r="P539" s="68">
        <f t="shared" si="806"/>
        <v>0</v>
      </c>
      <c r="Q539" s="62">
        <f t="shared" si="815"/>
        <v>0</v>
      </c>
      <c r="R539" s="69">
        <f t="shared" si="762"/>
        <v>0</v>
      </c>
      <c r="U539" s="68">
        <f t="shared" si="798"/>
        <v>0</v>
      </c>
      <c r="V539" s="62">
        <f t="shared" si="811"/>
        <v>0</v>
      </c>
      <c r="W539" s="69">
        <f t="shared" si="763"/>
        <v>0</v>
      </c>
      <c r="Z539" s="68">
        <f t="shared" si="793"/>
        <v>0</v>
      </c>
      <c r="AA539" s="68">
        <f t="shared" si="812"/>
        <v>0</v>
      </c>
      <c r="AB539" s="69">
        <f t="shared" si="760"/>
        <v>0</v>
      </c>
      <c r="AD539" s="75">
        <f t="shared" si="845"/>
        <v>0</v>
      </c>
    </row>
    <row r="540" spans="1:34" outlineLevel="2" x14ac:dyDescent="0.25">
      <c r="B540" s="71">
        <v>2149</v>
      </c>
      <c r="C540" s="56" t="s">
        <v>48</v>
      </c>
      <c r="E540" s="73">
        <v>92.12</v>
      </c>
      <c r="F540" s="74">
        <f t="shared" si="789"/>
        <v>117.23</v>
      </c>
      <c r="G540" s="75">
        <v>16.3</v>
      </c>
      <c r="H540" s="56" t="s">
        <v>43</v>
      </c>
      <c r="I540" s="73">
        <f t="shared" si="769"/>
        <v>7.1920245398773002</v>
      </c>
      <c r="K540" s="68">
        <f t="shared" si="804"/>
        <v>0</v>
      </c>
      <c r="L540" s="62">
        <f t="shared" si="813"/>
        <v>0</v>
      </c>
      <c r="M540" s="69">
        <f t="shared" si="761"/>
        <v>0</v>
      </c>
      <c r="P540" s="68">
        <f t="shared" si="806"/>
        <v>0</v>
      </c>
      <c r="Q540" s="62">
        <f t="shared" si="815"/>
        <v>0</v>
      </c>
      <c r="R540" s="69">
        <f t="shared" si="762"/>
        <v>0</v>
      </c>
      <c r="U540" s="68">
        <f t="shared" si="798"/>
        <v>0</v>
      </c>
      <c r="V540" s="62">
        <f t="shared" si="811"/>
        <v>0</v>
      </c>
      <c r="W540" s="69">
        <f t="shared" si="763"/>
        <v>0</v>
      </c>
      <c r="Z540" s="68">
        <f t="shared" si="793"/>
        <v>0</v>
      </c>
      <c r="AA540" s="68">
        <f t="shared" si="812"/>
        <v>0</v>
      </c>
      <c r="AB540" s="69">
        <f t="shared" si="760"/>
        <v>0</v>
      </c>
      <c r="AD540" s="75">
        <f t="shared" si="845"/>
        <v>0</v>
      </c>
    </row>
    <row r="541" spans="1:34" outlineLevel="2" x14ac:dyDescent="0.25">
      <c r="B541" s="71">
        <v>3254</v>
      </c>
      <c r="C541" s="56" t="s">
        <v>84</v>
      </c>
      <c r="E541" s="73">
        <v>2218.94</v>
      </c>
      <c r="F541" s="74">
        <f t="shared" si="789"/>
        <v>2823.79</v>
      </c>
      <c r="G541" s="75">
        <v>254</v>
      </c>
      <c r="H541" s="56" t="s">
        <v>41</v>
      </c>
      <c r="I541" s="73">
        <f t="shared" si="769"/>
        <v>11.117283464566929</v>
      </c>
      <c r="K541" s="68">
        <f t="shared" si="804"/>
        <v>0</v>
      </c>
      <c r="L541" s="62">
        <f t="shared" si="813"/>
        <v>0</v>
      </c>
      <c r="M541" s="69">
        <f t="shared" si="761"/>
        <v>0</v>
      </c>
      <c r="P541" s="68">
        <f t="shared" si="806"/>
        <v>0</v>
      </c>
      <c r="Q541" s="62">
        <f t="shared" si="815"/>
        <v>0</v>
      </c>
      <c r="R541" s="69">
        <f t="shared" si="762"/>
        <v>0</v>
      </c>
      <c r="U541" s="68">
        <f t="shared" si="798"/>
        <v>0</v>
      </c>
      <c r="V541" s="62">
        <f t="shared" si="811"/>
        <v>0</v>
      </c>
      <c r="W541" s="69">
        <f t="shared" si="763"/>
        <v>0</v>
      </c>
      <c r="Z541" s="68">
        <f t="shared" si="793"/>
        <v>0</v>
      </c>
      <c r="AA541" s="68">
        <f t="shared" si="812"/>
        <v>0</v>
      </c>
      <c r="AB541" s="69">
        <f t="shared" si="760"/>
        <v>0</v>
      </c>
      <c r="AD541" s="75">
        <f t="shared" si="845"/>
        <v>0</v>
      </c>
    </row>
    <row r="542" spans="1:34" outlineLevel="2" x14ac:dyDescent="0.25">
      <c r="B542" s="71">
        <v>3710</v>
      </c>
      <c r="C542" s="56" t="s">
        <v>286</v>
      </c>
      <c r="E542" s="73">
        <v>1012.52</v>
      </c>
      <c r="F542" s="74">
        <f t="shared" si="789"/>
        <v>1288.52</v>
      </c>
      <c r="G542" s="75">
        <v>112</v>
      </c>
      <c r="H542" s="56" t="s">
        <v>40</v>
      </c>
      <c r="I542" s="73">
        <f t="shared" si="769"/>
        <v>11.504642857142857</v>
      </c>
      <c r="K542" s="68">
        <f t="shared" si="804"/>
        <v>0</v>
      </c>
      <c r="L542" s="62">
        <f t="shared" si="813"/>
        <v>0</v>
      </c>
      <c r="M542" s="69">
        <f t="shared" si="761"/>
        <v>0</v>
      </c>
      <c r="P542" s="68">
        <f t="shared" si="806"/>
        <v>0</v>
      </c>
      <c r="Q542" s="62">
        <f t="shared" si="815"/>
        <v>0</v>
      </c>
      <c r="R542" s="69">
        <f t="shared" si="762"/>
        <v>0</v>
      </c>
      <c r="U542" s="68">
        <f t="shared" si="798"/>
        <v>0</v>
      </c>
      <c r="V542" s="62">
        <f t="shared" si="811"/>
        <v>0</v>
      </c>
      <c r="W542" s="69">
        <f t="shared" si="763"/>
        <v>0</v>
      </c>
      <c r="Z542" s="68">
        <f t="shared" si="793"/>
        <v>0</v>
      </c>
      <c r="AA542" s="68">
        <f t="shared" si="812"/>
        <v>0</v>
      </c>
      <c r="AB542" s="69">
        <f t="shared" si="760"/>
        <v>0</v>
      </c>
      <c r="AD542" s="75">
        <f t="shared" si="845"/>
        <v>0</v>
      </c>
    </row>
    <row r="543" spans="1:34" outlineLevel="2" x14ac:dyDescent="0.25">
      <c r="B543" s="71">
        <v>3251</v>
      </c>
      <c r="C543" s="56" t="s">
        <v>83</v>
      </c>
      <c r="E543" s="73">
        <v>1470.79</v>
      </c>
      <c r="F543" s="74">
        <f t="shared" si="789"/>
        <v>1871.71</v>
      </c>
      <c r="G543" s="75">
        <v>60</v>
      </c>
      <c r="H543" s="56" t="s">
        <v>40</v>
      </c>
      <c r="I543" s="73">
        <f t="shared" si="769"/>
        <v>31.195166666666669</v>
      </c>
      <c r="K543" s="68">
        <f t="shared" si="804"/>
        <v>0</v>
      </c>
      <c r="L543" s="62">
        <f t="shared" si="813"/>
        <v>0</v>
      </c>
      <c r="M543" s="69">
        <f t="shared" si="761"/>
        <v>0</v>
      </c>
      <c r="P543" s="68">
        <f t="shared" si="806"/>
        <v>0</v>
      </c>
      <c r="Q543" s="62">
        <f t="shared" si="815"/>
        <v>0</v>
      </c>
      <c r="R543" s="69">
        <f t="shared" si="762"/>
        <v>0</v>
      </c>
      <c r="U543" s="68">
        <f t="shared" si="798"/>
        <v>0</v>
      </c>
      <c r="V543" s="62">
        <f t="shared" si="811"/>
        <v>0</v>
      </c>
      <c r="W543" s="69">
        <f t="shared" si="763"/>
        <v>0</v>
      </c>
      <c r="Z543" s="68">
        <f t="shared" si="793"/>
        <v>0</v>
      </c>
      <c r="AA543" s="68">
        <f t="shared" si="812"/>
        <v>0</v>
      </c>
      <c r="AB543" s="69">
        <f t="shared" si="760"/>
        <v>0</v>
      </c>
      <c r="AD543" s="75">
        <f t="shared" si="845"/>
        <v>0</v>
      </c>
    </row>
    <row r="544" spans="1:34" outlineLevel="1" x14ac:dyDescent="0.25">
      <c r="A544" s="67"/>
      <c r="B544" s="66"/>
      <c r="C544" s="67" t="s">
        <v>290</v>
      </c>
      <c r="D544" s="68"/>
      <c r="E544" s="68">
        <v>1317.46</v>
      </c>
      <c r="F544" s="68">
        <f t="shared" si="789"/>
        <v>1676.58</v>
      </c>
      <c r="G544" s="69">
        <v>4</v>
      </c>
      <c r="H544" s="67" t="s">
        <v>39</v>
      </c>
      <c r="I544" s="68">
        <f t="shared" si="769"/>
        <v>419.14499999999998</v>
      </c>
      <c r="J544" s="69"/>
      <c r="K544" s="68">
        <f t="shared" si="804"/>
        <v>0</v>
      </c>
      <c r="L544" s="62">
        <f t="shared" si="813"/>
        <v>0</v>
      </c>
      <c r="M544" s="69">
        <f t="shared" si="761"/>
        <v>0</v>
      </c>
      <c r="N544" s="70">
        <f t="shared" ref="N544" si="846">100%-(L544/$F544)</f>
        <v>1</v>
      </c>
      <c r="O544" s="69">
        <v>4</v>
      </c>
      <c r="P544" s="68">
        <f t="shared" si="806"/>
        <v>1676.58</v>
      </c>
      <c r="Q544" s="62">
        <f t="shared" si="815"/>
        <v>0</v>
      </c>
      <c r="R544" s="69">
        <f t="shared" si="762"/>
        <v>0</v>
      </c>
      <c r="S544" s="70">
        <f t="shared" ref="S544" si="847">100%-(Q544/$F544)</f>
        <v>1</v>
      </c>
      <c r="T544" s="69"/>
      <c r="U544" s="68">
        <f t="shared" si="798"/>
        <v>0</v>
      </c>
      <c r="V544" s="62">
        <f t="shared" si="811"/>
        <v>1676.58</v>
      </c>
      <c r="W544" s="69">
        <f t="shared" si="763"/>
        <v>4</v>
      </c>
      <c r="X544" s="70">
        <f t="shared" ref="X544" si="848">100%-(V544/$F544)</f>
        <v>0</v>
      </c>
      <c r="Y544" s="69"/>
      <c r="Z544" s="68">
        <f t="shared" si="793"/>
        <v>0</v>
      </c>
      <c r="AA544" s="68">
        <f t="shared" si="812"/>
        <v>1676.58</v>
      </c>
      <c r="AB544" s="69">
        <f t="shared" si="760"/>
        <v>4</v>
      </c>
      <c r="AC544" s="70">
        <f t="shared" ref="AC544" si="849">100%-(AA544/$F544)</f>
        <v>0</v>
      </c>
      <c r="AD544" s="69"/>
      <c r="AE544" s="68">
        <f>AD544*I544</f>
        <v>0</v>
      </c>
      <c r="AF544" s="68">
        <f>F544-AE544</f>
        <v>1676.58</v>
      </c>
      <c r="AG544" s="69">
        <f>G544-AD544</f>
        <v>4</v>
      </c>
      <c r="AH544" s="70">
        <f t="shared" ref="AH544" si="850">100%-(AF544/$F544)</f>
        <v>0</v>
      </c>
    </row>
    <row r="545" spans="1:34" outlineLevel="2" x14ac:dyDescent="0.25">
      <c r="B545" s="71">
        <v>2705</v>
      </c>
      <c r="C545" s="56" t="s">
        <v>274</v>
      </c>
      <c r="E545" s="73">
        <v>356.49</v>
      </c>
      <c r="F545" s="74">
        <f t="shared" si="789"/>
        <v>453.66</v>
      </c>
      <c r="G545" s="75">
        <v>1</v>
      </c>
      <c r="H545" s="56" t="s">
        <v>34</v>
      </c>
      <c r="I545" s="73">
        <f t="shared" si="769"/>
        <v>453.66</v>
      </c>
      <c r="K545" s="68">
        <f t="shared" si="804"/>
        <v>0</v>
      </c>
      <c r="L545" s="62">
        <f t="shared" si="813"/>
        <v>0</v>
      </c>
      <c r="M545" s="69">
        <f t="shared" si="761"/>
        <v>0</v>
      </c>
      <c r="P545" s="68">
        <f t="shared" si="806"/>
        <v>0</v>
      </c>
      <c r="Q545" s="62">
        <f t="shared" si="815"/>
        <v>0</v>
      </c>
      <c r="R545" s="69">
        <f t="shared" si="762"/>
        <v>0</v>
      </c>
      <c r="U545" s="68">
        <f t="shared" si="798"/>
        <v>0</v>
      </c>
      <c r="V545" s="62">
        <f t="shared" si="811"/>
        <v>0</v>
      </c>
      <c r="W545" s="69">
        <f t="shared" si="763"/>
        <v>0</v>
      </c>
      <c r="Z545" s="68">
        <f t="shared" si="793"/>
        <v>0</v>
      </c>
      <c r="AA545" s="68">
        <f t="shared" si="812"/>
        <v>0</v>
      </c>
      <c r="AB545" s="69">
        <f t="shared" si="760"/>
        <v>0</v>
      </c>
      <c r="AD545" s="75">
        <f>AD544*G545/G544</f>
        <v>0</v>
      </c>
    </row>
    <row r="546" spans="1:34" outlineLevel="2" x14ac:dyDescent="0.25">
      <c r="B546" s="71">
        <v>2700</v>
      </c>
      <c r="C546" s="56" t="s">
        <v>277</v>
      </c>
      <c r="E546" s="73">
        <v>960.97</v>
      </c>
      <c r="F546" s="74">
        <f t="shared" si="789"/>
        <v>1222.92</v>
      </c>
      <c r="G546" s="75">
        <v>1</v>
      </c>
      <c r="H546" s="56" t="s">
        <v>34</v>
      </c>
      <c r="I546" s="73">
        <f t="shared" si="769"/>
        <v>1222.92</v>
      </c>
      <c r="K546" s="68">
        <f t="shared" si="804"/>
        <v>0</v>
      </c>
      <c r="L546" s="62">
        <f t="shared" si="813"/>
        <v>0</v>
      </c>
      <c r="M546" s="69">
        <f t="shared" si="761"/>
        <v>0</v>
      </c>
      <c r="P546" s="68">
        <f t="shared" si="806"/>
        <v>0</v>
      </c>
      <c r="Q546" s="62">
        <f t="shared" si="815"/>
        <v>0</v>
      </c>
      <c r="R546" s="69">
        <f t="shared" si="762"/>
        <v>0</v>
      </c>
      <c r="U546" s="68">
        <f t="shared" si="798"/>
        <v>0</v>
      </c>
      <c r="V546" s="62">
        <f t="shared" si="811"/>
        <v>0</v>
      </c>
      <c r="W546" s="69">
        <f t="shared" si="763"/>
        <v>0</v>
      </c>
      <c r="Z546" s="68">
        <f t="shared" si="793"/>
        <v>0</v>
      </c>
      <c r="AA546" s="68">
        <f t="shared" si="812"/>
        <v>0</v>
      </c>
      <c r="AB546" s="69">
        <f t="shared" si="760"/>
        <v>0</v>
      </c>
      <c r="AD546" s="75">
        <f>AD544*G546/G544</f>
        <v>0</v>
      </c>
    </row>
    <row r="547" spans="1:34" outlineLevel="1" x14ac:dyDescent="0.25">
      <c r="A547" s="67"/>
      <c r="B547" s="66"/>
      <c r="C547" s="67" t="s">
        <v>291</v>
      </c>
      <c r="D547" s="68"/>
      <c r="E547" s="68">
        <v>2609.75</v>
      </c>
      <c r="F547" s="68">
        <f t="shared" si="789"/>
        <v>3321.13</v>
      </c>
      <c r="G547" s="69">
        <v>4</v>
      </c>
      <c r="H547" s="67" t="s">
        <v>39</v>
      </c>
      <c r="I547" s="68">
        <f t="shared" si="769"/>
        <v>830.28250000000003</v>
      </c>
      <c r="J547" s="69"/>
      <c r="K547" s="68">
        <f t="shared" si="804"/>
        <v>0</v>
      </c>
      <c r="L547" s="62">
        <f t="shared" si="813"/>
        <v>3321.13</v>
      </c>
      <c r="M547" s="69">
        <f t="shared" si="761"/>
        <v>4</v>
      </c>
      <c r="N547" s="70">
        <f t="shared" ref="N547" si="851">100%-(L547/$F547)</f>
        <v>0</v>
      </c>
      <c r="O547" s="69"/>
      <c r="P547" s="68">
        <f t="shared" si="806"/>
        <v>0</v>
      </c>
      <c r="Q547" s="62">
        <f t="shared" si="815"/>
        <v>3321.13</v>
      </c>
      <c r="R547" s="69">
        <f t="shared" si="762"/>
        <v>4</v>
      </c>
      <c r="S547" s="70">
        <f t="shared" ref="S547" si="852">100%-(Q547/$F547)</f>
        <v>0</v>
      </c>
      <c r="T547" s="69"/>
      <c r="U547" s="68">
        <f t="shared" si="798"/>
        <v>0</v>
      </c>
      <c r="V547" s="62">
        <f t="shared" si="811"/>
        <v>3321.13</v>
      </c>
      <c r="W547" s="69">
        <f t="shared" si="763"/>
        <v>4</v>
      </c>
      <c r="X547" s="70">
        <f t="shared" ref="X547" si="853">100%-(V547/$F547)</f>
        <v>0</v>
      </c>
      <c r="Y547" s="69"/>
      <c r="Z547" s="68">
        <f t="shared" si="793"/>
        <v>0</v>
      </c>
      <c r="AA547" s="68">
        <f t="shared" si="812"/>
        <v>3321.13</v>
      </c>
      <c r="AB547" s="69">
        <f t="shared" si="760"/>
        <v>4</v>
      </c>
      <c r="AC547" s="70">
        <f t="shared" ref="AC547" si="854">100%-(AA547/$F547)</f>
        <v>0</v>
      </c>
      <c r="AD547" s="69"/>
      <c r="AE547" s="68">
        <f>AD547*I547</f>
        <v>0</v>
      </c>
      <c r="AF547" s="68">
        <f>F547-AE547</f>
        <v>3321.13</v>
      </c>
      <c r="AG547" s="69">
        <f>G547-AD547</f>
        <v>4</v>
      </c>
      <c r="AH547" s="70">
        <f t="shared" ref="AH547" si="855">100%-(AF547/$F547)</f>
        <v>0</v>
      </c>
    </row>
    <row r="548" spans="1:34" outlineLevel="2" x14ac:dyDescent="0.25">
      <c r="B548" s="71">
        <v>2705</v>
      </c>
      <c r="C548" s="56" t="s">
        <v>274</v>
      </c>
      <c r="E548" s="73">
        <v>1487.75</v>
      </c>
      <c r="F548" s="74">
        <f t="shared" si="789"/>
        <v>1893.29</v>
      </c>
      <c r="G548" s="75">
        <v>1</v>
      </c>
      <c r="H548" s="56" t="s">
        <v>34</v>
      </c>
      <c r="I548" s="73">
        <f t="shared" si="769"/>
        <v>1893.29</v>
      </c>
      <c r="K548" s="68">
        <f t="shared" si="804"/>
        <v>0</v>
      </c>
      <c r="L548" s="62">
        <f t="shared" si="813"/>
        <v>0</v>
      </c>
      <c r="M548" s="69">
        <f t="shared" si="761"/>
        <v>0</v>
      </c>
      <c r="P548" s="68">
        <f t="shared" si="806"/>
        <v>0</v>
      </c>
      <c r="Q548" s="62">
        <f t="shared" si="815"/>
        <v>0</v>
      </c>
      <c r="R548" s="69">
        <f t="shared" si="762"/>
        <v>0</v>
      </c>
      <c r="U548" s="68">
        <f t="shared" si="798"/>
        <v>0</v>
      </c>
      <c r="V548" s="62">
        <f t="shared" si="811"/>
        <v>0</v>
      </c>
      <c r="W548" s="69">
        <f t="shared" si="763"/>
        <v>0</v>
      </c>
      <c r="Z548" s="68">
        <f t="shared" si="793"/>
        <v>0</v>
      </c>
      <c r="AA548" s="68">
        <f t="shared" si="812"/>
        <v>0</v>
      </c>
      <c r="AB548" s="69">
        <f t="shared" si="760"/>
        <v>0</v>
      </c>
      <c r="AD548" s="75">
        <f>AD547*G548/G547</f>
        <v>0</v>
      </c>
    </row>
    <row r="549" spans="1:34" outlineLevel="2" x14ac:dyDescent="0.25">
      <c r="B549" s="71">
        <v>2700</v>
      </c>
      <c r="C549" s="56" t="s">
        <v>277</v>
      </c>
      <c r="E549" s="73">
        <v>1122</v>
      </c>
      <c r="F549" s="74">
        <f t="shared" si="789"/>
        <v>1427.84</v>
      </c>
      <c r="G549" s="75">
        <v>1</v>
      </c>
      <c r="H549" s="56" t="s">
        <v>34</v>
      </c>
      <c r="I549" s="73">
        <f t="shared" si="769"/>
        <v>1427.84</v>
      </c>
      <c r="K549" s="68">
        <f t="shared" si="804"/>
        <v>0</v>
      </c>
      <c r="L549" s="62">
        <f t="shared" si="813"/>
        <v>0</v>
      </c>
      <c r="M549" s="69">
        <f t="shared" si="761"/>
        <v>0</v>
      </c>
      <c r="P549" s="68">
        <f t="shared" si="806"/>
        <v>0</v>
      </c>
      <c r="Q549" s="62">
        <f t="shared" si="815"/>
        <v>0</v>
      </c>
      <c r="R549" s="69">
        <f t="shared" si="762"/>
        <v>0</v>
      </c>
      <c r="U549" s="68">
        <f t="shared" si="798"/>
        <v>0</v>
      </c>
      <c r="V549" s="62">
        <f t="shared" si="811"/>
        <v>0</v>
      </c>
      <c r="W549" s="69">
        <f t="shared" si="763"/>
        <v>0</v>
      </c>
      <c r="Z549" s="68">
        <f t="shared" si="793"/>
        <v>0</v>
      </c>
      <c r="AA549" s="68">
        <f t="shared" si="812"/>
        <v>0</v>
      </c>
      <c r="AB549" s="69">
        <f t="shared" si="760"/>
        <v>0</v>
      </c>
      <c r="AD549" s="75">
        <f>AD547*G549/G547</f>
        <v>0</v>
      </c>
    </row>
    <row r="550" spans="1:34" outlineLevel="1" x14ac:dyDescent="0.25">
      <c r="A550" s="67"/>
      <c r="B550" s="66"/>
      <c r="C550" s="67" t="s">
        <v>292</v>
      </c>
      <c r="D550" s="68"/>
      <c r="E550" s="68">
        <v>2048.7600000000002</v>
      </c>
      <c r="F550" s="68">
        <f t="shared" si="789"/>
        <v>2607.2199999999998</v>
      </c>
      <c r="G550" s="69">
        <v>3</v>
      </c>
      <c r="H550" s="67" t="s">
        <v>39</v>
      </c>
      <c r="I550" s="68">
        <f t="shared" si="769"/>
        <v>869.07333333333327</v>
      </c>
      <c r="J550" s="69"/>
      <c r="K550" s="68">
        <f t="shared" si="804"/>
        <v>0</v>
      </c>
      <c r="L550" s="62">
        <f t="shared" si="813"/>
        <v>2607.2199999999998</v>
      </c>
      <c r="M550" s="69">
        <f t="shared" si="761"/>
        <v>3</v>
      </c>
      <c r="N550" s="70">
        <f t="shared" ref="N550" si="856">100%-(L550/$F550)</f>
        <v>0</v>
      </c>
      <c r="O550" s="69"/>
      <c r="P550" s="68">
        <f t="shared" si="806"/>
        <v>0</v>
      </c>
      <c r="Q550" s="62">
        <f t="shared" si="815"/>
        <v>2607.2199999999998</v>
      </c>
      <c r="R550" s="69">
        <f t="shared" si="762"/>
        <v>3</v>
      </c>
      <c r="S550" s="70">
        <f t="shared" ref="S550" si="857">100%-(Q550/$F550)</f>
        <v>0</v>
      </c>
      <c r="T550" s="69"/>
      <c r="U550" s="68">
        <f t="shared" si="798"/>
        <v>0</v>
      </c>
      <c r="V550" s="62">
        <f t="shared" si="811"/>
        <v>2607.2199999999998</v>
      </c>
      <c r="W550" s="69">
        <f t="shared" si="763"/>
        <v>3</v>
      </c>
      <c r="X550" s="70">
        <f t="shared" ref="X550" si="858">100%-(V550/$F550)</f>
        <v>0</v>
      </c>
      <c r="Y550" s="69"/>
      <c r="Z550" s="68">
        <f t="shared" si="793"/>
        <v>0</v>
      </c>
      <c r="AA550" s="68">
        <f t="shared" si="812"/>
        <v>2607.2199999999998</v>
      </c>
      <c r="AB550" s="69">
        <f t="shared" si="760"/>
        <v>3</v>
      </c>
      <c r="AC550" s="70">
        <f t="shared" ref="AC550" si="859">100%-(AA550/$F550)</f>
        <v>0</v>
      </c>
      <c r="AD550" s="69"/>
      <c r="AE550" s="68">
        <f>AD550*I550</f>
        <v>0</v>
      </c>
      <c r="AF550" s="68">
        <f>F550-AE550</f>
        <v>2607.2199999999998</v>
      </c>
      <c r="AG550" s="69">
        <f>G550-AD550</f>
        <v>3</v>
      </c>
      <c r="AH550" s="70">
        <f t="shared" ref="AH550" si="860">100%-(AF550/$F550)</f>
        <v>0</v>
      </c>
    </row>
    <row r="551" spans="1:34" outlineLevel="2" x14ac:dyDescent="0.25">
      <c r="B551" s="71">
        <v>2705</v>
      </c>
      <c r="C551" s="56" t="s">
        <v>274</v>
      </c>
      <c r="E551" s="73">
        <v>1115.81</v>
      </c>
      <c r="F551" s="74">
        <f t="shared" si="789"/>
        <v>1419.96</v>
      </c>
      <c r="G551" s="75">
        <v>1</v>
      </c>
      <c r="H551" s="56" t="s">
        <v>34</v>
      </c>
      <c r="I551" s="73">
        <f t="shared" si="769"/>
        <v>1419.96</v>
      </c>
      <c r="K551" s="68">
        <f t="shared" si="804"/>
        <v>0</v>
      </c>
      <c r="L551" s="62">
        <f t="shared" si="813"/>
        <v>0</v>
      </c>
      <c r="M551" s="69">
        <f t="shared" si="761"/>
        <v>0</v>
      </c>
      <c r="P551" s="68">
        <f t="shared" si="806"/>
        <v>0</v>
      </c>
      <c r="Q551" s="62">
        <f t="shared" si="815"/>
        <v>0</v>
      </c>
      <c r="R551" s="69">
        <f t="shared" si="762"/>
        <v>0</v>
      </c>
      <c r="U551" s="68">
        <f t="shared" si="798"/>
        <v>0</v>
      </c>
      <c r="V551" s="62">
        <f t="shared" si="811"/>
        <v>0</v>
      </c>
      <c r="W551" s="69">
        <f t="shared" si="763"/>
        <v>0</v>
      </c>
      <c r="Z551" s="68">
        <f t="shared" si="793"/>
        <v>0</v>
      </c>
      <c r="AA551" s="68">
        <f t="shared" si="812"/>
        <v>0</v>
      </c>
      <c r="AB551" s="69">
        <f t="shared" si="760"/>
        <v>0</v>
      </c>
      <c r="AD551" s="75">
        <f>AD550*G551/G550</f>
        <v>0</v>
      </c>
    </row>
    <row r="552" spans="1:34" outlineLevel="2" x14ac:dyDescent="0.25">
      <c r="B552" s="71">
        <v>2700</v>
      </c>
      <c r="C552" s="56" t="s">
        <v>277</v>
      </c>
      <c r="E552" s="73">
        <v>932.95</v>
      </c>
      <c r="F552" s="74">
        <f t="shared" si="789"/>
        <v>1187.26</v>
      </c>
      <c r="G552" s="75">
        <v>1</v>
      </c>
      <c r="H552" s="56" t="s">
        <v>34</v>
      </c>
      <c r="I552" s="73">
        <f t="shared" si="769"/>
        <v>1187.26</v>
      </c>
      <c r="K552" s="68">
        <f t="shared" si="804"/>
        <v>0</v>
      </c>
      <c r="L552" s="62">
        <f t="shared" si="813"/>
        <v>0</v>
      </c>
      <c r="M552" s="69">
        <f t="shared" si="761"/>
        <v>0</v>
      </c>
      <c r="P552" s="68">
        <f t="shared" si="806"/>
        <v>0</v>
      </c>
      <c r="Q552" s="62">
        <f t="shared" si="815"/>
        <v>0</v>
      </c>
      <c r="R552" s="69">
        <f t="shared" si="762"/>
        <v>0</v>
      </c>
      <c r="U552" s="68">
        <f t="shared" si="798"/>
        <v>0</v>
      </c>
      <c r="V552" s="62">
        <f t="shared" si="811"/>
        <v>0</v>
      </c>
      <c r="W552" s="69">
        <f t="shared" si="763"/>
        <v>0</v>
      </c>
      <c r="Z552" s="68">
        <f t="shared" si="793"/>
        <v>0</v>
      </c>
      <c r="AA552" s="68">
        <f t="shared" si="812"/>
        <v>0</v>
      </c>
      <c r="AB552" s="69">
        <f t="shared" si="760"/>
        <v>0</v>
      </c>
      <c r="AD552" s="75">
        <f>AD550*G552/G550</f>
        <v>0</v>
      </c>
    </row>
    <row r="553" spans="1:34" outlineLevel="1" x14ac:dyDescent="0.25">
      <c r="A553" s="67"/>
      <c r="B553" s="66"/>
      <c r="C553" s="67" t="s">
        <v>293</v>
      </c>
      <c r="D553" s="68"/>
      <c r="E553" s="68">
        <v>136513.75</v>
      </c>
      <c r="F553" s="68">
        <f t="shared" si="789"/>
        <v>173725.55</v>
      </c>
      <c r="G553" s="69">
        <v>156</v>
      </c>
      <c r="H553" s="67" t="s">
        <v>40</v>
      </c>
      <c r="I553" s="68">
        <f t="shared" si="769"/>
        <v>1113.6253205128205</v>
      </c>
      <c r="J553" s="69"/>
      <c r="K553" s="68">
        <f t="shared" si="804"/>
        <v>0</v>
      </c>
      <c r="L553" s="62">
        <f t="shared" si="813"/>
        <v>153680.29423076921</v>
      </c>
      <c r="M553" s="69">
        <f t="shared" si="761"/>
        <v>138</v>
      </c>
      <c r="N553" s="70">
        <f t="shared" ref="N553" si="861">100%-(L553/$F553)</f>
        <v>0.11538461538461542</v>
      </c>
      <c r="O553" s="69"/>
      <c r="P553" s="68">
        <f t="shared" si="806"/>
        <v>0</v>
      </c>
      <c r="Q553" s="62">
        <f t="shared" si="815"/>
        <v>153680.29423076921</v>
      </c>
      <c r="R553" s="69">
        <f t="shared" si="762"/>
        <v>138</v>
      </c>
      <c r="S553" s="70">
        <f t="shared" ref="S553" si="862">100%-(Q553/$F553)</f>
        <v>0.11538461538461542</v>
      </c>
      <c r="T553" s="69"/>
      <c r="U553" s="68">
        <f t="shared" si="798"/>
        <v>0</v>
      </c>
      <c r="V553" s="62">
        <f t="shared" si="811"/>
        <v>153680.29423076921</v>
      </c>
      <c r="W553" s="69">
        <f t="shared" si="763"/>
        <v>138</v>
      </c>
      <c r="X553" s="70">
        <f t="shared" ref="X553" si="863">100%-(V553/$F553)</f>
        <v>0.11538461538461542</v>
      </c>
      <c r="Y553" s="69">
        <v>18</v>
      </c>
      <c r="Z553" s="68">
        <f t="shared" si="793"/>
        <v>20045.255769230767</v>
      </c>
      <c r="AA553" s="68">
        <f t="shared" si="812"/>
        <v>153680.29423076921</v>
      </c>
      <c r="AB553" s="69">
        <f t="shared" si="760"/>
        <v>138</v>
      </c>
      <c r="AC553" s="70">
        <f t="shared" ref="AC553" si="864">100%-(AA553/$F553)</f>
        <v>0.11538461538461542</v>
      </c>
      <c r="AD553" s="69"/>
      <c r="AE553" s="68">
        <f>AD553*I553</f>
        <v>0</v>
      </c>
      <c r="AF553" s="68">
        <f>F553-AE553</f>
        <v>173725.55</v>
      </c>
      <c r="AG553" s="69">
        <f>G553-AD553</f>
        <v>156</v>
      </c>
      <c r="AH553" s="70">
        <f t="shared" ref="AH553" si="865">100%-(AF553/$F553)</f>
        <v>0</v>
      </c>
    </row>
    <row r="554" spans="1:34" outlineLevel="2" x14ac:dyDescent="0.25">
      <c r="B554" s="71">
        <v>2705</v>
      </c>
      <c r="C554" s="56" t="s">
        <v>274</v>
      </c>
      <c r="E554" s="73">
        <v>31877.07</v>
      </c>
      <c r="F554" s="74">
        <f t="shared" si="789"/>
        <v>40566.33</v>
      </c>
      <c r="G554" s="75">
        <v>1</v>
      </c>
      <c r="H554" s="56" t="s">
        <v>34</v>
      </c>
      <c r="I554" s="73">
        <f t="shared" si="769"/>
        <v>40566.33</v>
      </c>
      <c r="L554" s="62">
        <f t="shared" si="813"/>
        <v>0</v>
      </c>
      <c r="M554" s="69">
        <f t="shared" si="761"/>
        <v>0</v>
      </c>
      <c r="Q554" s="62">
        <f t="shared" si="815"/>
        <v>0</v>
      </c>
      <c r="R554" s="69">
        <f t="shared" si="762"/>
        <v>0</v>
      </c>
      <c r="V554" s="62">
        <f t="shared" si="811"/>
        <v>0</v>
      </c>
      <c r="W554" s="69">
        <f t="shared" si="763"/>
        <v>0</v>
      </c>
      <c r="AA554" s="68">
        <f t="shared" si="812"/>
        <v>0</v>
      </c>
      <c r="AB554" s="69">
        <f t="shared" si="760"/>
        <v>0</v>
      </c>
      <c r="AD554" s="75">
        <f>AD553*G554/G553</f>
        <v>0</v>
      </c>
    </row>
    <row r="555" spans="1:34" outlineLevel="2" x14ac:dyDescent="0.25">
      <c r="B555" s="71">
        <v>2700</v>
      </c>
      <c r="C555" s="56" t="s">
        <v>277</v>
      </c>
      <c r="E555" s="73">
        <v>104636.68</v>
      </c>
      <c r="F555" s="74">
        <f t="shared" si="789"/>
        <v>133159.22</v>
      </c>
      <c r="G555" s="75">
        <v>1</v>
      </c>
      <c r="H555" s="56" t="s">
        <v>34</v>
      </c>
      <c r="I555" s="73">
        <f t="shared" ref="I555:I603" si="866">F555/G555</f>
        <v>133159.22</v>
      </c>
      <c r="L555" s="62">
        <f t="shared" si="813"/>
        <v>0</v>
      </c>
      <c r="M555" s="69">
        <f t="shared" si="761"/>
        <v>0</v>
      </c>
      <c r="Q555" s="62">
        <f t="shared" si="815"/>
        <v>0</v>
      </c>
      <c r="R555" s="69">
        <f t="shared" si="762"/>
        <v>0</v>
      </c>
      <c r="V555" s="62">
        <f t="shared" si="811"/>
        <v>0</v>
      </c>
      <c r="W555" s="69">
        <f t="shared" si="763"/>
        <v>0</v>
      </c>
      <c r="AA555" s="68">
        <f t="shared" si="812"/>
        <v>0</v>
      </c>
      <c r="AB555" s="69">
        <f t="shared" si="760"/>
        <v>0</v>
      </c>
      <c r="AD555" s="75">
        <f>AD553*G555/G553</f>
        <v>0</v>
      </c>
    </row>
    <row r="556" spans="1:34" outlineLevel="1" x14ac:dyDescent="0.25">
      <c r="A556" s="79"/>
      <c r="B556" s="80"/>
      <c r="C556" s="79" t="s">
        <v>297</v>
      </c>
      <c r="D556" s="81"/>
      <c r="E556" s="81">
        <v>130965.25</v>
      </c>
      <c r="F556" s="81">
        <f t="shared" si="789"/>
        <v>166664.6</v>
      </c>
      <c r="G556" s="82"/>
      <c r="H556" s="79"/>
      <c r="I556" s="81"/>
      <c r="J556" s="82"/>
      <c r="K556" s="81">
        <f>SUM(K557,K560,K566,K563,K569,K572,K578,K581,K584,K587)</f>
        <v>0</v>
      </c>
      <c r="L556" s="62">
        <f t="shared" si="813"/>
        <v>149271.59146892658</v>
      </c>
      <c r="M556" s="69">
        <f t="shared" si="761"/>
        <v>0</v>
      </c>
      <c r="N556" s="83"/>
      <c r="O556" s="82"/>
      <c r="P556" s="81">
        <f>SUM(P557,P560,P566,P563,P569,P572,P578,P581,P584,P587)</f>
        <v>5757.83</v>
      </c>
      <c r="Q556" s="62">
        <f t="shared" si="815"/>
        <v>149271.59146892658</v>
      </c>
      <c r="R556" s="69">
        <f t="shared" si="762"/>
        <v>0</v>
      </c>
      <c r="S556" s="83"/>
      <c r="T556" s="82"/>
      <c r="U556" s="81">
        <f>SUM(U557,U560,U566,U563,U569,U572,U578,U581,U584,U587)</f>
        <v>0</v>
      </c>
      <c r="V556" s="62">
        <f t="shared" si="811"/>
        <v>155029.42146892656</v>
      </c>
      <c r="W556" s="69">
        <f t="shared" si="763"/>
        <v>0</v>
      </c>
      <c r="X556" s="83"/>
      <c r="Y556" s="82"/>
      <c r="Z556" s="81">
        <f>SUM(Z557,Z560,Z566,Z563,Z569,Z572,Z578,Z581,Z584,Z587)</f>
        <v>11635.178531073449</v>
      </c>
      <c r="AA556" s="68">
        <f t="shared" si="812"/>
        <v>155029.42146892656</v>
      </c>
      <c r="AB556" s="69">
        <f t="shared" si="760"/>
        <v>0</v>
      </c>
      <c r="AC556" s="83"/>
      <c r="AD556" s="82"/>
      <c r="AE556" s="81">
        <f>SUM(AE557,AE560,AE566,AE563,AE569,AE572,AE578,AE581,AE584,AE587)</f>
        <v>0</v>
      </c>
      <c r="AF556" s="81">
        <f>SUM(AF557,AF560,AF566,AF563,AF569,AF572,AF578,AF581,AF584,AF587)</f>
        <v>166664.6</v>
      </c>
      <c r="AG556" s="82"/>
      <c r="AH556" s="83"/>
    </row>
    <row r="557" spans="1:34" outlineLevel="1" x14ac:dyDescent="0.25">
      <c r="A557" s="67"/>
      <c r="B557" s="66"/>
      <c r="C557" s="67" t="s">
        <v>273</v>
      </c>
      <c r="D557" s="68"/>
      <c r="E557" s="68">
        <v>9355.08</v>
      </c>
      <c r="F557" s="68">
        <f t="shared" si="789"/>
        <v>11905.15</v>
      </c>
      <c r="G557" s="69">
        <v>25</v>
      </c>
      <c r="H557" s="67" t="s">
        <v>39</v>
      </c>
      <c r="I557" s="68">
        <f t="shared" si="866"/>
        <v>476.20599999999996</v>
      </c>
      <c r="J557" s="69"/>
      <c r="K557" s="68">
        <f t="shared" ref="K557:K587" si="867">+J557*$I557</f>
        <v>0</v>
      </c>
      <c r="L557" s="62">
        <f t="shared" si="813"/>
        <v>11905.15</v>
      </c>
      <c r="M557" s="69">
        <f t="shared" si="761"/>
        <v>25</v>
      </c>
      <c r="N557" s="70">
        <f t="shared" ref="N557" si="868">100%-(L557/$F557)</f>
        <v>0</v>
      </c>
      <c r="O557" s="69"/>
      <c r="P557" s="68">
        <f t="shared" ref="P557:P587" si="869">+O557*$I557</f>
        <v>0</v>
      </c>
      <c r="Q557" s="62">
        <f t="shared" si="815"/>
        <v>11905.15</v>
      </c>
      <c r="R557" s="69">
        <f t="shared" si="762"/>
        <v>25</v>
      </c>
      <c r="S557" s="70">
        <f t="shared" ref="S557" si="870">100%-(Q557/$F557)</f>
        <v>0</v>
      </c>
      <c r="T557" s="69"/>
      <c r="U557" s="68">
        <f t="shared" ref="U557:U587" si="871">+T557*$I557</f>
        <v>0</v>
      </c>
      <c r="V557" s="62">
        <f t="shared" si="811"/>
        <v>11905.15</v>
      </c>
      <c r="W557" s="69">
        <f t="shared" si="763"/>
        <v>25</v>
      </c>
      <c r="X557" s="70">
        <f t="shared" ref="X557" si="872">100%-(V557/$F557)</f>
        <v>0</v>
      </c>
      <c r="Y557" s="69"/>
      <c r="Z557" s="68">
        <f t="shared" ref="Z557:Z587" si="873">+Y557*I557</f>
        <v>0</v>
      </c>
      <c r="AA557" s="68">
        <f t="shared" si="812"/>
        <v>11905.15</v>
      </c>
      <c r="AB557" s="69">
        <f t="shared" ref="AB557:AB620" si="874">+AG557-Y557</f>
        <v>25</v>
      </c>
      <c r="AC557" s="70">
        <f t="shared" ref="AC557" si="875">100%-(AA557/$F557)</f>
        <v>0</v>
      </c>
      <c r="AD557" s="69"/>
      <c r="AE557" s="68">
        <f>AD557*I557</f>
        <v>0</v>
      </c>
      <c r="AF557" s="68">
        <f>F557-AE557</f>
        <v>11905.15</v>
      </c>
      <c r="AG557" s="69">
        <f>G557-AD557</f>
        <v>25</v>
      </c>
      <c r="AH557" s="70">
        <f t="shared" ref="AH557" si="876">100%-(AF557/$F557)</f>
        <v>0</v>
      </c>
    </row>
    <row r="558" spans="1:34" outlineLevel="2" x14ac:dyDescent="0.25">
      <c r="B558" s="71">
        <v>2705</v>
      </c>
      <c r="C558" s="56" t="s">
        <v>274</v>
      </c>
      <c r="E558" s="73">
        <v>2245.86</v>
      </c>
      <c r="F558" s="74">
        <f t="shared" si="789"/>
        <v>2858.05</v>
      </c>
      <c r="G558" s="75">
        <v>1</v>
      </c>
      <c r="H558" s="56" t="s">
        <v>34</v>
      </c>
      <c r="I558" s="73">
        <f t="shared" si="866"/>
        <v>2858.05</v>
      </c>
      <c r="K558" s="68">
        <f t="shared" si="867"/>
        <v>0</v>
      </c>
      <c r="L558" s="62">
        <f t="shared" si="813"/>
        <v>0</v>
      </c>
      <c r="M558" s="69">
        <f t="shared" ref="M558:M621" si="877">+R558-J558</f>
        <v>0</v>
      </c>
      <c r="P558" s="68">
        <f t="shared" si="869"/>
        <v>0</v>
      </c>
      <c r="Q558" s="62">
        <f t="shared" si="815"/>
        <v>0</v>
      </c>
      <c r="R558" s="69">
        <f t="shared" ref="R558:R621" si="878">+W558-O558</f>
        <v>0</v>
      </c>
      <c r="U558" s="68">
        <f t="shared" si="871"/>
        <v>0</v>
      </c>
      <c r="V558" s="62">
        <f t="shared" si="811"/>
        <v>0</v>
      </c>
      <c r="W558" s="69">
        <f t="shared" ref="W558:W621" si="879">+AB558-T558</f>
        <v>0</v>
      </c>
      <c r="Z558" s="68">
        <f t="shared" si="873"/>
        <v>0</v>
      </c>
      <c r="AA558" s="68">
        <f t="shared" si="812"/>
        <v>0</v>
      </c>
      <c r="AB558" s="69">
        <f t="shared" si="874"/>
        <v>0</v>
      </c>
      <c r="AD558" s="75">
        <f>AD557*G558/G557</f>
        <v>0</v>
      </c>
    </row>
    <row r="559" spans="1:34" outlineLevel="2" x14ac:dyDescent="0.25">
      <c r="B559" s="71">
        <v>2700</v>
      </c>
      <c r="C559" s="56" t="s">
        <v>277</v>
      </c>
      <c r="E559" s="73">
        <v>7109.22</v>
      </c>
      <c r="F559" s="74">
        <f t="shared" si="789"/>
        <v>9047.1</v>
      </c>
      <c r="G559" s="75">
        <v>1</v>
      </c>
      <c r="H559" s="56" t="s">
        <v>34</v>
      </c>
      <c r="I559" s="73">
        <f t="shared" si="866"/>
        <v>9047.1</v>
      </c>
      <c r="K559" s="68">
        <f t="shared" si="867"/>
        <v>0</v>
      </c>
      <c r="L559" s="62">
        <f t="shared" si="813"/>
        <v>0</v>
      </c>
      <c r="M559" s="69">
        <f t="shared" si="877"/>
        <v>0</v>
      </c>
      <c r="P559" s="68">
        <f t="shared" si="869"/>
        <v>0</v>
      </c>
      <c r="Q559" s="62">
        <f t="shared" si="815"/>
        <v>0</v>
      </c>
      <c r="R559" s="69">
        <f t="shared" si="878"/>
        <v>0</v>
      </c>
      <c r="U559" s="68">
        <f t="shared" si="871"/>
        <v>0</v>
      </c>
      <c r="V559" s="62">
        <f t="shared" si="811"/>
        <v>0</v>
      </c>
      <c r="W559" s="69">
        <f t="shared" si="879"/>
        <v>0</v>
      </c>
      <c r="Z559" s="68">
        <f t="shared" si="873"/>
        <v>0</v>
      </c>
      <c r="AA559" s="68">
        <f t="shared" si="812"/>
        <v>0</v>
      </c>
      <c r="AB559" s="69">
        <f t="shared" si="874"/>
        <v>0</v>
      </c>
      <c r="AD559" s="75">
        <f>AD557*G559/G557</f>
        <v>0</v>
      </c>
    </row>
    <row r="560" spans="1:34" outlineLevel="1" x14ac:dyDescent="0.25">
      <c r="A560" s="67"/>
      <c r="B560" s="66"/>
      <c r="C560" s="67" t="s">
        <v>276</v>
      </c>
      <c r="D560" s="68"/>
      <c r="E560" s="68">
        <v>11188.74</v>
      </c>
      <c r="F560" s="68">
        <f t="shared" si="789"/>
        <v>14238.64</v>
      </c>
      <c r="G560" s="69">
        <v>2</v>
      </c>
      <c r="H560" s="67" t="s">
        <v>39</v>
      </c>
      <c r="I560" s="68">
        <f t="shared" si="866"/>
        <v>7119.32</v>
      </c>
      <c r="J560" s="69"/>
      <c r="K560" s="68">
        <f t="shared" si="867"/>
        <v>0</v>
      </c>
      <c r="L560" s="62">
        <f t="shared" si="813"/>
        <v>14238.64</v>
      </c>
      <c r="M560" s="69">
        <f t="shared" si="877"/>
        <v>2</v>
      </c>
      <c r="N560" s="70">
        <f t="shared" ref="N560" si="880">100%-(L560/$F560)</f>
        <v>0</v>
      </c>
      <c r="O560" s="69"/>
      <c r="P560" s="68">
        <f t="shared" si="869"/>
        <v>0</v>
      </c>
      <c r="Q560" s="62">
        <f t="shared" si="815"/>
        <v>14238.64</v>
      </c>
      <c r="R560" s="69">
        <f t="shared" si="878"/>
        <v>2</v>
      </c>
      <c r="S560" s="70">
        <f t="shared" ref="S560" si="881">100%-(Q560/$F560)</f>
        <v>0</v>
      </c>
      <c r="T560" s="69"/>
      <c r="U560" s="68">
        <f t="shared" si="871"/>
        <v>0</v>
      </c>
      <c r="V560" s="62">
        <f t="shared" si="811"/>
        <v>14238.64</v>
      </c>
      <c r="W560" s="69">
        <f t="shared" si="879"/>
        <v>2</v>
      </c>
      <c r="X560" s="70">
        <f t="shared" ref="X560" si="882">100%-(V560/$F560)</f>
        <v>0</v>
      </c>
      <c r="Y560" s="69"/>
      <c r="Z560" s="68">
        <f t="shared" si="873"/>
        <v>0</v>
      </c>
      <c r="AA560" s="68">
        <f t="shared" si="812"/>
        <v>14238.64</v>
      </c>
      <c r="AB560" s="69">
        <f t="shared" si="874"/>
        <v>2</v>
      </c>
      <c r="AC560" s="70">
        <f t="shared" ref="AC560" si="883">100%-(AA560/$F560)</f>
        <v>0</v>
      </c>
      <c r="AD560" s="69"/>
      <c r="AE560" s="68">
        <f>AD560*I560</f>
        <v>0</v>
      </c>
      <c r="AF560" s="68">
        <f>F560-AE560</f>
        <v>14238.64</v>
      </c>
      <c r="AG560" s="69">
        <f>G560-AD560</f>
        <v>2</v>
      </c>
      <c r="AH560" s="70">
        <f t="shared" ref="AH560" si="884">100%-(AF560/$F560)</f>
        <v>0</v>
      </c>
    </row>
    <row r="561" spans="1:34" outlineLevel="2" x14ac:dyDescent="0.25">
      <c r="B561" s="71">
        <v>2705</v>
      </c>
      <c r="C561" s="56" t="s">
        <v>274</v>
      </c>
      <c r="E561" s="73">
        <v>2673.7</v>
      </c>
      <c r="F561" s="74">
        <f t="shared" si="789"/>
        <v>3402.51</v>
      </c>
      <c r="G561" s="75">
        <v>1</v>
      </c>
      <c r="H561" s="56" t="s">
        <v>34</v>
      </c>
      <c r="I561" s="73">
        <f t="shared" si="866"/>
        <v>3402.51</v>
      </c>
      <c r="K561" s="68">
        <f t="shared" si="867"/>
        <v>0</v>
      </c>
      <c r="L561" s="62">
        <f t="shared" si="813"/>
        <v>0</v>
      </c>
      <c r="M561" s="69">
        <f t="shared" si="877"/>
        <v>0</v>
      </c>
      <c r="P561" s="68">
        <f t="shared" si="869"/>
        <v>0</v>
      </c>
      <c r="Q561" s="62">
        <f t="shared" si="815"/>
        <v>0</v>
      </c>
      <c r="R561" s="69">
        <f t="shared" si="878"/>
        <v>0</v>
      </c>
      <c r="U561" s="68">
        <f t="shared" si="871"/>
        <v>0</v>
      </c>
      <c r="V561" s="62">
        <f t="shared" si="811"/>
        <v>0</v>
      </c>
      <c r="W561" s="69">
        <f t="shared" si="879"/>
        <v>0</v>
      </c>
      <c r="Z561" s="68">
        <f t="shared" si="873"/>
        <v>0</v>
      </c>
      <c r="AA561" s="68">
        <f t="shared" si="812"/>
        <v>0</v>
      </c>
      <c r="AB561" s="69">
        <f t="shared" si="874"/>
        <v>0</v>
      </c>
      <c r="AD561" s="75">
        <f>AD560*G561/G560</f>
        <v>0</v>
      </c>
    </row>
    <row r="562" spans="1:34" outlineLevel="2" x14ac:dyDescent="0.25">
      <c r="B562" s="71">
        <v>2700</v>
      </c>
      <c r="C562" s="56" t="s">
        <v>277</v>
      </c>
      <c r="E562" s="73">
        <v>8515.0400000000009</v>
      </c>
      <c r="F562" s="74">
        <f t="shared" si="789"/>
        <v>10836.12</v>
      </c>
      <c r="G562" s="75">
        <v>1</v>
      </c>
      <c r="H562" s="56" t="s">
        <v>34</v>
      </c>
      <c r="I562" s="73">
        <f t="shared" si="866"/>
        <v>10836.12</v>
      </c>
      <c r="K562" s="68">
        <f t="shared" si="867"/>
        <v>0</v>
      </c>
      <c r="L562" s="62">
        <f t="shared" si="813"/>
        <v>0</v>
      </c>
      <c r="M562" s="69">
        <f t="shared" si="877"/>
        <v>0</v>
      </c>
      <c r="P562" s="68">
        <f t="shared" si="869"/>
        <v>0</v>
      </c>
      <c r="Q562" s="62">
        <f t="shared" si="815"/>
        <v>0</v>
      </c>
      <c r="R562" s="69">
        <f t="shared" si="878"/>
        <v>0</v>
      </c>
      <c r="U562" s="68">
        <f t="shared" si="871"/>
        <v>0</v>
      </c>
      <c r="V562" s="62">
        <f t="shared" si="811"/>
        <v>0</v>
      </c>
      <c r="W562" s="69">
        <f t="shared" si="879"/>
        <v>0</v>
      </c>
      <c r="Z562" s="68">
        <f t="shared" si="873"/>
        <v>0</v>
      </c>
      <c r="AA562" s="68">
        <f t="shared" si="812"/>
        <v>0</v>
      </c>
      <c r="AB562" s="69">
        <f t="shared" si="874"/>
        <v>0</v>
      </c>
      <c r="AD562" s="75">
        <f>AD560*G562/G560</f>
        <v>0</v>
      </c>
    </row>
    <row r="563" spans="1:34" outlineLevel="1" x14ac:dyDescent="0.25">
      <c r="A563" s="67"/>
      <c r="B563" s="66"/>
      <c r="C563" s="67" t="s">
        <v>278</v>
      </c>
      <c r="D563" s="68"/>
      <c r="E563" s="68">
        <v>16793.689999999999</v>
      </c>
      <c r="F563" s="68">
        <f t="shared" si="789"/>
        <v>21371.42</v>
      </c>
      <c r="G563" s="69">
        <v>2</v>
      </c>
      <c r="H563" s="67" t="s">
        <v>39</v>
      </c>
      <c r="I563" s="68">
        <f t="shared" si="866"/>
        <v>10685.71</v>
      </c>
      <c r="J563" s="69"/>
      <c r="K563" s="68">
        <f t="shared" si="867"/>
        <v>0</v>
      </c>
      <c r="L563" s="62">
        <f t="shared" si="813"/>
        <v>21371.42</v>
      </c>
      <c r="M563" s="69">
        <f t="shared" si="877"/>
        <v>2</v>
      </c>
      <c r="N563" s="70">
        <f t="shared" ref="N563" si="885">100%-(L563/$F563)</f>
        <v>0</v>
      </c>
      <c r="O563" s="69"/>
      <c r="P563" s="68">
        <f t="shared" si="869"/>
        <v>0</v>
      </c>
      <c r="Q563" s="62">
        <f t="shared" si="815"/>
        <v>21371.42</v>
      </c>
      <c r="R563" s="69">
        <f t="shared" si="878"/>
        <v>2</v>
      </c>
      <c r="S563" s="70">
        <f t="shared" ref="S563" si="886">100%-(Q563/$F563)</f>
        <v>0</v>
      </c>
      <c r="T563" s="69"/>
      <c r="U563" s="68">
        <f t="shared" si="871"/>
        <v>0</v>
      </c>
      <c r="V563" s="62">
        <f t="shared" si="811"/>
        <v>21371.42</v>
      </c>
      <c r="W563" s="69">
        <f t="shared" si="879"/>
        <v>2</v>
      </c>
      <c r="X563" s="70">
        <f t="shared" ref="X563" si="887">100%-(V563/$F563)</f>
        <v>0</v>
      </c>
      <c r="Y563" s="69"/>
      <c r="Z563" s="68">
        <f t="shared" si="873"/>
        <v>0</v>
      </c>
      <c r="AA563" s="68">
        <f t="shared" si="812"/>
        <v>21371.42</v>
      </c>
      <c r="AB563" s="69">
        <f t="shared" si="874"/>
        <v>2</v>
      </c>
      <c r="AC563" s="70">
        <f t="shared" ref="AC563" si="888">100%-(AA563/$F563)</f>
        <v>0</v>
      </c>
      <c r="AD563" s="69"/>
      <c r="AE563" s="68">
        <f>AD563*I563</f>
        <v>0</v>
      </c>
      <c r="AF563" s="68">
        <f>F563-AE563</f>
        <v>21371.42</v>
      </c>
      <c r="AG563" s="69">
        <f>G563-AD563</f>
        <v>2</v>
      </c>
      <c r="AH563" s="70">
        <f t="shared" ref="AH563" si="889">100%-(AF563/$F563)</f>
        <v>0</v>
      </c>
    </row>
    <row r="564" spans="1:34" outlineLevel="2" x14ac:dyDescent="0.25">
      <c r="B564" s="71">
        <v>2705</v>
      </c>
      <c r="C564" s="56" t="s">
        <v>274</v>
      </c>
      <c r="E564" s="73">
        <v>2575.25</v>
      </c>
      <c r="F564" s="74">
        <f t="shared" si="789"/>
        <v>3277.23</v>
      </c>
      <c r="G564" s="75">
        <v>1</v>
      </c>
      <c r="H564" s="56" t="s">
        <v>34</v>
      </c>
      <c r="I564" s="73">
        <f t="shared" si="866"/>
        <v>3277.23</v>
      </c>
      <c r="K564" s="68">
        <f t="shared" si="867"/>
        <v>0</v>
      </c>
      <c r="L564" s="62">
        <f t="shared" si="813"/>
        <v>0</v>
      </c>
      <c r="M564" s="69">
        <f t="shared" si="877"/>
        <v>0</v>
      </c>
      <c r="P564" s="68">
        <f t="shared" si="869"/>
        <v>0</v>
      </c>
      <c r="Q564" s="62">
        <f t="shared" si="815"/>
        <v>0</v>
      </c>
      <c r="R564" s="69">
        <f t="shared" si="878"/>
        <v>0</v>
      </c>
      <c r="U564" s="68">
        <f t="shared" si="871"/>
        <v>0</v>
      </c>
      <c r="V564" s="62">
        <f t="shared" si="811"/>
        <v>0</v>
      </c>
      <c r="W564" s="69">
        <f t="shared" si="879"/>
        <v>0</v>
      </c>
      <c r="Z564" s="68">
        <f t="shared" si="873"/>
        <v>0</v>
      </c>
      <c r="AA564" s="68">
        <f t="shared" si="812"/>
        <v>0</v>
      </c>
      <c r="AB564" s="69">
        <f t="shared" si="874"/>
        <v>0</v>
      </c>
      <c r="AD564" s="75">
        <f>AD563*G564/G563</f>
        <v>0</v>
      </c>
    </row>
    <row r="565" spans="1:34" outlineLevel="2" x14ac:dyDescent="0.25">
      <c r="B565" s="71">
        <v>2700</v>
      </c>
      <c r="C565" s="56" t="s">
        <v>277</v>
      </c>
      <c r="E565" s="73">
        <v>14218.44</v>
      </c>
      <c r="F565" s="74">
        <f t="shared" si="789"/>
        <v>18094.189999999999</v>
      </c>
      <c r="G565" s="75">
        <v>1</v>
      </c>
      <c r="H565" s="56" t="s">
        <v>34</v>
      </c>
      <c r="I565" s="73">
        <f t="shared" si="866"/>
        <v>18094.189999999999</v>
      </c>
      <c r="K565" s="68">
        <f t="shared" si="867"/>
        <v>0</v>
      </c>
      <c r="L565" s="62">
        <f t="shared" si="813"/>
        <v>0</v>
      </c>
      <c r="M565" s="69">
        <f t="shared" si="877"/>
        <v>0</v>
      </c>
      <c r="P565" s="68">
        <f t="shared" si="869"/>
        <v>0</v>
      </c>
      <c r="Q565" s="62">
        <f t="shared" si="815"/>
        <v>0</v>
      </c>
      <c r="R565" s="69">
        <f t="shared" si="878"/>
        <v>0</v>
      </c>
      <c r="U565" s="68">
        <f t="shared" si="871"/>
        <v>0</v>
      </c>
      <c r="V565" s="62">
        <f t="shared" si="811"/>
        <v>0</v>
      </c>
      <c r="W565" s="69">
        <f t="shared" si="879"/>
        <v>0</v>
      </c>
      <c r="Z565" s="68">
        <f t="shared" si="873"/>
        <v>0</v>
      </c>
      <c r="AA565" s="68">
        <f t="shared" si="812"/>
        <v>0</v>
      </c>
      <c r="AB565" s="69">
        <f t="shared" si="874"/>
        <v>0</v>
      </c>
      <c r="AD565" s="75">
        <f>AD563*G565/G563</f>
        <v>0</v>
      </c>
    </row>
    <row r="566" spans="1:34" outlineLevel="1" x14ac:dyDescent="0.25">
      <c r="A566" s="67"/>
      <c r="B566" s="66"/>
      <c r="C566" s="67" t="s">
        <v>281</v>
      </c>
      <c r="D566" s="68"/>
      <c r="E566" s="68">
        <v>3936.39</v>
      </c>
      <c r="F566" s="68">
        <f t="shared" si="789"/>
        <v>5009.3999999999996</v>
      </c>
      <c r="G566" s="69">
        <v>100</v>
      </c>
      <c r="H566" s="67" t="s">
        <v>40</v>
      </c>
      <c r="I566" s="68">
        <f t="shared" si="866"/>
        <v>50.093999999999994</v>
      </c>
      <c r="J566" s="69"/>
      <c r="K566" s="68">
        <f t="shared" si="867"/>
        <v>0</v>
      </c>
      <c r="L566" s="62">
        <f t="shared" si="813"/>
        <v>5009.3999999999996</v>
      </c>
      <c r="M566" s="69">
        <f t="shared" si="877"/>
        <v>100</v>
      </c>
      <c r="N566" s="70">
        <f t="shared" ref="N566" si="890">100%-(L566/$F566)</f>
        <v>0</v>
      </c>
      <c r="O566" s="69"/>
      <c r="P566" s="68">
        <f t="shared" si="869"/>
        <v>0</v>
      </c>
      <c r="Q566" s="62">
        <f t="shared" si="815"/>
        <v>5009.3999999999996</v>
      </c>
      <c r="R566" s="69">
        <f t="shared" si="878"/>
        <v>100</v>
      </c>
      <c r="S566" s="70">
        <f t="shared" ref="S566" si="891">100%-(Q566/$F566)</f>
        <v>0</v>
      </c>
      <c r="T566" s="69"/>
      <c r="U566" s="68">
        <f t="shared" si="871"/>
        <v>0</v>
      </c>
      <c r="V566" s="62">
        <f t="shared" si="811"/>
        <v>5009.3999999999996</v>
      </c>
      <c r="W566" s="69">
        <f t="shared" si="879"/>
        <v>100</v>
      </c>
      <c r="X566" s="70">
        <f t="shared" ref="X566" si="892">100%-(V566/$F566)</f>
        <v>0</v>
      </c>
      <c r="Y566" s="69"/>
      <c r="Z566" s="68">
        <f t="shared" si="873"/>
        <v>0</v>
      </c>
      <c r="AA566" s="68">
        <f t="shared" si="812"/>
        <v>5009.3999999999996</v>
      </c>
      <c r="AB566" s="69">
        <f t="shared" si="874"/>
        <v>100</v>
      </c>
      <c r="AC566" s="70">
        <f t="shared" ref="AC566" si="893">100%-(AA566/$F566)</f>
        <v>0</v>
      </c>
      <c r="AD566" s="69"/>
      <c r="AE566" s="68">
        <f>AD566*I566</f>
        <v>0</v>
      </c>
      <c r="AF566" s="68">
        <f>F566-AE566</f>
        <v>5009.3999999999996</v>
      </c>
      <c r="AG566" s="69">
        <f>G566-AD566</f>
        <v>100</v>
      </c>
      <c r="AH566" s="70">
        <f t="shared" ref="AH566" si="894">100%-(AF566/$F566)</f>
        <v>0</v>
      </c>
    </row>
    <row r="567" spans="1:34" outlineLevel="2" x14ac:dyDescent="0.25">
      <c r="B567" s="71">
        <v>2705</v>
      </c>
      <c r="C567" s="56" t="s">
        <v>274</v>
      </c>
      <c r="E567" s="73">
        <v>643.80999999999995</v>
      </c>
      <c r="F567" s="74">
        <f t="shared" si="789"/>
        <v>819.3</v>
      </c>
      <c r="G567" s="75">
        <v>1</v>
      </c>
      <c r="H567" s="56" t="s">
        <v>34</v>
      </c>
      <c r="I567" s="73">
        <f t="shared" si="866"/>
        <v>819.3</v>
      </c>
      <c r="K567" s="68">
        <f t="shared" si="867"/>
        <v>0</v>
      </c>
      <c r="L567" s="62">
        <f t="shared" si="813"/>
        <v>0</v>
      </c>
      <c r="M567" s="69">
        <f t="shared" si="877"/>
        <v>0</v>
      </c>
      <c r="P567" s="68">
        <f t="shared" si="869"/>
        <v>0</v>
      </c>
      <c r="Q567" s="62">
        <f t="shared" si="815"/>
        <v>0</v>
      </c>
      <c r="R567" s="69">
        <f t="shared" si="878"/>
        <v>0</v>
      </c>
      <c r="U567" s="68">
        <f t="shared" si="871"/>
        <v>0</v>
      </c>
      <c r="V567" s="62">
        <f t="shared" si="811"/>
        <v>0</v>
      </c>
      <c r="W567" s="69">
        <f t="shared" si="879"/>
        <v>0</v>
      </c>
      <c r="Z567" s="68">
        <f t="shared" si="873"/>
        <v>0</v>
      </c>
      <c r="AA567" s="68">
        <f t="shared" si="812"/>
        <v>0</v>
      </c>
      <c r="AB567" s="69">
        <f t="shared" si="874"/>
        <v>0</v>
      </c>
      <c r="AD567" s="75">
        <f>AD566*G567/G566</f>
        <v>0</v>
      </c>
    </row>
    <row r="568" spans="1:34" outlineLevel="2" x14ac:dyDescent="0.25">
      <c r="B568" s="71">
        <v>2700</v>
      </c>
      <c r="C568" s="56" t="s">
        <v>277</v>
      </c>
      <c r="E568" s="73">
        <v>3292.58</v>
      </c>
      <c r="F568" s="74">
        <f t="shared" si="789"/>
        <v>4190.09</v>
      </c>
      <c r="G568" s="75">
        <v>1</v>
      </c>
      <c r="H568" s="56" t="s">
        <v>34</v>
      </c>
      <c r="I568" s="73">
        <f t="shared" si="866"/>
        <v>4190.09</v>
      </c>
      <c r="K568" s="68">
        <f t="shared" si="867"/>
        <v>0</v>
      </c>
      <c r="L568" s="62">
        <f t="shared" si="813"/>
        <v>0</v>
      </c>
      <c r="M568" s="69">
        <f t="shared" si="877"/>
        <v>0</v>
      </c>
      <c r="P568" s="68">
        <f t="shared" si="869"/>
        <v>0</v>
      </c>
      <c r="Q568" s="62">
        <f t="shared" si="815"/>
        <v>0</v>
      </c>
      <c r="R568" s="69">
        <f t="shared" si="878"/>
        <v>0</v>
      </c>
      <c r="U568" s="68">
        <f t="shared" si="871"/>
        <v>0</v>
      </c>
      <c r="V568" s="62">
        <f t="shared" si="811"/>
        <v>0</v>
      </c>
      <c r="W568" s="69">
        <f t="shared" si="879"/>
        <v>0</v>
      </c>
      <c r="Z568" s="68">
        <f t="shared" si="873"/>
        <v>0</v>
      </c>
      <c r="AA568" s="68">
        <f t="shared" si="812"/>
        <v>0</v>
      </c>
      <c r="AB568" s="69">
        <f t="shared" si="874"/>
        <v>0</v>
      </c>
      <c r="AD568" s="75">
        <f>AD566*G568/G566</f>
        <v>0</v>
      </c>
    </row>
    <row r="569" spans="1:34" outlineLevel="1" x14ac:dyDescent="0.25">
      <c r="A569" s="67"/>
      <c r="B569" s="66"/>
      <c r="C569" s="67" t="s">
        <v>282</v>
      </c>
      <c r="D569" s="68"/>
      <c r="E569" s="68">
        <v>2203.08</v>
      </c>
      <c r="F569" s="68">
        <f t="shared" si="789"/>
        <v>2803.61</v>
      </c>
      <c r="G569" s="69">
        <v>660</v>
      </c>
      <c r="H569" s="67" t="s">
        <v>40</v>
      </c>
      <c r="I569" s="68">
        <f t="shared" si="866"/>
        <v>4.2478939393939399</v>
      </c>
      <c r="J569" s="69"/>
      <c r="K569" s="68">
        <f t="shared" si="867"/>
        <v>0</v>
      </c>
      <c r="L569" s="62">
        <f t="shared" si="813"/>
        <v>2803.61</v>
      </c>
      <c r="M569" s="69">
        <f t="shared" si="877"/>
        <v>660</v>
      </c>
      <c r="N569" s="70">
        <f t="shared" ref="N569" si="895">100%-(L569/$F569)</f>
        <v>0</v>
      </c>
      <c r="O569" s="69"/>
      <c r="P569" s="68">
        <f t="shared" si="869"/>
        <v>0</v>
      </c>
      <c r="Q569" s="62">
        <f t="shared" si="815"/>
        <v>2803.61</v>
      </c>
      <c r="R569" s="69">
        <f t="shared" si="878"/>
        <v>660</v>
      </c>
      <c r="S569" s="70">
        <f t="shared" ref="S569" si="896">100%-(Q569/$F569)</f>
        <v>0</v>
      </c>
      <c r="T569" s="69"/>
      <c r="U569" s="68">
        <f t="shared" si="871"/>
        <v>0</v>
      </c>
      <c r="V569" s="62">
        <f t="shared" si="811"/>
        <v>2803.61</v>
      </c>
      <c r="W569" s="69">
        <f t="shared" si="879"/>
        <v>660</v>
      </c>
      <c r="X569" s="70">
        <f t="shared" ref="X569" si="897">100%-(V569/$F569)</f>
        <v>0</v>
      </c>
      <c r="Y569" s="69"/>
      <c r="Z569" s="68">
        <f t="shared" si="873"/>
        <v>0</v>
      </c>
      <c r="AA569" s="68">
        <f t="shared" si="812"/>
        <v>2803.61</v>
      </c>
      <c r="AB569" s="69">
        <f t="shared" si="874"/>
        <v>660</v>
      </c>
      <c r="AC569" s="70">
        <f t="shared" ref="AC569" si="898">100%-(AA569/$F569)</f>
        <v>0</v>
      </c>
      <c r="AD569" s="69"/>
      <c r="AE569" s="68">
        <f>AD569*I569</f>
        <v>0</v>
      </c>
      <c r="AF569" s="68">
        <f>F569-AE569</f>
        <v>2803.61</v>
      </c>
      <c r="AG569" s="69">
        <f>G569-AD569</f>
        <v>660</v>
      </c>
      <c r="AH569" s="70">
        <f t="shared" ref="AH569" si="899">100%-(AF569/$F569)</f>
        <v>0</v>
      </c>
    </row>
    <row r="570" spans="1:34" outlineLevel="2" x14ac:dyDescent="0.25">
      <c r="B570" s="71">
        <v>2705</v>
      </c>
      <c r="C570" s="56" t="s">
        <v>274</v>
      </c>
      <c r="E570" s="73">
        <v>764.9</v>
      </c>
      <c r="F570" s="74">
        <f t="shared" si="789"/>
        <v>973.4</v>
      </c>
      <c r="G570" s="75">
        <v>1</v>
      </c>
      <c r="H570" s="56" t="s">
        <v>34</v>
      </c>
      <c r="I570" s="73">
        <f t="shared" si="866"/>
        <v>973.4</v>
      </c>
      <c r="K570" s="68">
        <f t="shared" si="867"/>
        <v>0</v>
      </c>
      <c r="L570" s="62">
        <f t="shared" si="813"/>
        <v>0</v>
      </c>
      <c r="M570" s="69">
        <f t="shared" si="877"/>
        <v>0</v>
      </c>
      <c r="P570" s="68">
        <f t="shared" si="869"/>
        <v>0</v>
      </c>
      <c r="Q570" s="62">
        <f t="shared" si="815"/>
        <v>0</v>
      </c>
      <c r="R570" s="69">
        <f t="shared" si="878"/>
        <v>0</v>
      </c>
      <c r="U570" s="68">
        <f t="shared" si="871"/>
        <v>0</v>
      </c>
      <c r="V570" s="62">
        <f t="shared" si="811"/>
        <v>0</v>
      </c>
      <c r="W570" s="69">
        <f t="shared" si="879"/>
        <v>0</v>
      </c>
      <c r="Z570" s="68">
        <f t="shared" si="873"/>
        <v>0</v>
      </c>
      <c r="AA570" s="68">
        <f t="shared" si="812"/>
        <v>0</v>
      </c>
      <c r="AB570" s="69">
        <f t="shared" si="874"/>
        <v>0</v>
      </c>
      <c r="AD570" s="75">
        <f>AD569*G570/G569</f>
        <v>0</v>
      </c>
    </row>
    <row r="571" spans="1:34" outlineLevel="2" x14ac:dyDescent="0.25">
      <c r="B571" s="71">
        <v>2700</v>
      </c>
      <c r="C571" s="56" t="s">
        <v>277</v>
      </c>
      <c r="E571" s="73">
        <v>1438.19</v>
      </c>
      <c r="F571" s="74">
        <f t="shared" si="789"/>
        <v>1830.22</v>
      </c>
      <c r="G571" s="75">
        <v>1</v>
      </c>
      <c r="H571" s="56" t="s">
        <v>34</v>
      </c>
      <c r="I571" s="73">
        <f t="shared" si="866"/>
        <v>1830.22</v>
      </c>
      <c r="K571" s="68">
        <f t="shared" si="867"/>
        <v>0</v>
      </c>
      <c r="L571" s="62">
        <f t="shared" si="813"/>
        <v>0</v>
      </c>
      <c r="M571" s="69">
        <f t="shared" si="877"/>
        <v>0</v>
      </c>
      <c r="P571" s="68">
        <f t="shared" si="869"/>
        <v>0</v>
      </c>
      <c r="Q571" s="62">
        <f t="shared" si="815"/>
        <v>0</v>
      </c>
      <c r="R571" s="69">
        <f t="shared" si="878"/>
        <v>0</v>
      </c>
      <c r="U571" s="68">
        <f t="shared" si="871"/>
        <v>0</v>
      </c>
      <c r="V571" s="62">
        <f t="shared" si="811"/>
        <v>0</v>
      </c>
      <c r="W571" s="69">
        <f t="shared" si="879"/>
        <v>0</v>
      </c>
      <c r="Z571" s="68">
        <f t="shared" si="873"/>
        <v>0</v>
      </c>
      <c r="AA571" s="68">
        <f t="shared" si="812"/>
        <v>0</v>
      </c>
      <c r="AB571" s="69">
        <f t="shared" si="874"/>
        <v>0</v>
      </c>
      <c r="AD571" s="75">
        <f>AD569*G571/G569</f>
        <v>0</v>
      </c>
    </row>
    <row r="572" spans="1:34" outlineLevel="1" x14ac:dyDescent="0.25">
      <c r="A572" s="67"/>
      <c r="B572" s="66"/>
      <c r="C572" s="67" t="s">
        <v>283</v>
      </c>
      <c r="D572" s="68"/>
      <c r="E572" s="68">
        <v>1579.09</v>
      </c>
      <c r="F572" s="68">
        <f t="shared" si="789"/>
        <v>2009.53</v>
      </c>
      <c r="G572" s="69">
        <v>100</v>
      </c>
      <c r="H572" s="67" t="s">
        <v>41</v>
      </c>
      <c r="I572" s="68">
        <f t="shared" si="866"/>
        <v>20.095299999999998</v>
      </c>
      <c r="J572" s="69"/>
      <c r="K572" s="68">
        <f t="shared" si="867"/>
        <v>0</v>
      </c>
      <c r="L572" s="62">
        <f t="shared" si="813"/>
        <v>0</v>
      </c>
      <c r="M572" s="69">
        <f t="shared" si="877"/>
        <v>0</v>
      </c>
      <c r="N572" s="70">
        <f t="shared" ref="N572" si="900">100%-(L572/$F572)</f>
        <v>1</v>
      </c>
      <c r="O572" s="69">
        <v>100</v>
      </c>
      <c r="P572" s="68">
        <f t="shared" si="869"/>
        <v>2009.5299999999997</v>
      </c>
      <c r="Q572" s="62">
        <f t="shared" si="815"/>
        <v>0</v>
      </c>
      <c r="R572" s="69">
        <f t="shared" si="878"/>
        <v>0</v>
      </c>
      <c r="S572" s="70">
        <f t="shared" ref="S572" si="901">100%-(Q572/$F572)</f>
        <v>1</v>
      </c>
      <c r="T572" s="69"/>
      <c r="U572" s="68">
        <f t="shared" si="871"/>
        <v>0</v>
      </c>
      <c r="V572" s="62">
        <f t="shared" si="811"/>
        <v>2009.53</v>
      </c>
      <c r="W572" s="69">
        <f t="shared" si="879"/>
        <v>100</v>
      </c>
      <c r="X572" s="70">
        <f t="shared" ref="X572" si="902">100%-(V572/$F572)</f>
        <v>0</v>
      </c>
      <c r="Y572" s="69"/>
      <c r="Z572" s="68">
        <f t="shared" si="873"/>
        <v>0</v>
      </c>
      <c r="AA572" s="68">
        <f t="shared" si="812"/>
        <v>2009.53</v>
      </c>
      <c r="AB572" s="69">
        <f t="shared" si="874"/>
        <v>100</v>
      </c>
      <c r="AC572" s="70">
        <f t="shared" ref="AC572" si="903">100%-(AA572/$F572)</f>
        <v>0</v>
      </c>
      <c r="AD572" s="69"/>
      <c r="AE572" s="68">
        <f>AD572*I572</f>
        <v>0</v>
      </c>
      <c r="AF572" s="68">
        <f>F572-AE572</f>
        <v>2009.53</v>
      </c>
      <c r="AG572" s="69">
        <f>G572-AD572</f>
        <v>100</v>
      </c>
      <c r="AH572" s="70">
        <f t="shared" ref="AH572" si="904">100%-(AF572/$F572)</f>
        <v>0</v>
      </c>
    </row>
    <row r="573" spans="1:34" outlineLevel="2" x14ac:dyDescent="0.25">
      <c r="B573" s="71">
        <v>2156</v>
      </c>
      <c r="C573" s="56" t="s">
        <v>82</v>
      </c>
      <c r="E573" s="73">
        <v>287.64</v>
      </c>
      <c r="F573" s="74">
        <f t="shared" si="789"/>
        <v>366.05</v>
      </c>
      <c r="G573" s="75">
        <v>100</v>
      </c>
      <c r="H573" s="56" t="s">
        <v>41</v>
      </c>
      <c r="I573" s="73">
        <f t="shared" si="866"/>
        <v>3.6605000000000003</v>
      </c>
      <c r="K573" s="68">
        <f t="shared" si="867"/>
        <v>0</v>
      </c>
      <c r="L573" s="62">
        <f t="shared" si="813"/>
        <v>0</v>
      </c>
      <c r="M573" s="69">
        <f t="shared" si="877"/>
        <v>0</v>
      </c>
      <c r="P573" s="68">
        <f t="shared" si="869"/>
        <v>0</v>
      </c>
      <c r="Q573" s="62">
        <f t="shared" si="815"/>
        <v>0</v>
      </c>
      <c r="R573" s="69">
        <f t="shared" si="878"/>
        <v>0</v>
      </c>
      <c r="U573" s="68">
        <f t="shared" si="871"/>
        <v>0</v>
      </c>
      <c r="V573" s="62">
        <f t="shared" si="811"/>
        <v>0</v>
      </c>
      <c r="W573" s="69">
        <f t="shared" si="879"/>
        <v>0</v>
      </c>
      <c r="Y573" s="75">
        <f>$AD$572*B573/$G$572</f>
        <v>0</v>
      </c>
      <c r="Z573" s="68">
        <f t="shared" si="873"/>
        <v>0</v>
      </c>
      <c r="AA573" s="68">
        <f t="shared" si="812"/>
        <v>0</v>
      </c>
      <c r="AB573" s="69">
        <f t="shared" si="874"/>
        <v>0</v>
      </c>
      <c r="AD573" s="75">
        <f>$AD$572*G573/$G$572</f>
        <v>0</v>
      </c>
    </row>
    <row r="574" spans="1:34" outlineLevel="2" x14ac:dyDescent="0.25">
      <c r="B574" s="71">
        <v>2183</v>
      </c>
      <c r="C574" s="56" t="s">
        <v>80</v>
      </c>
      <c r="E574" s="73">
        <v>38.85</v>
      </c>
      <c r="F574" s="74">
        <f t="shared" ref="F574:F597" si="905">ROUND($D$508/$E$508*E574,2)</f>
        <v>49.44</v>
      </c>
      <c r="G574" s="75">
        <v>3.5</v>
      </c>
      <c r="H574" s="56" t="s">
        <v>43</v>
      </c>
      <c r="I574" s="73">
        <f t="shared" si="866"/>
        <v>14.125714285714285</v>
      </c>
      <c r="K574" s="68">
        <f t="shared" si="867"/>
        <v>0</v>
      </c>
      <c r="L574" s="62">
        <f t="shared" si="813"/>
        <v>0</v>
      </c>
      <c r="M574" s="69">
        <f t="shared" si="877"/>
        <v>0</v>
      </c>
      <c r="P574" s="68">
        <f t="shared" si="869"/>
        <v>0</v>
      </c>
      <c r="Q574" s="62">
        <f t="shared" si="815"/>
        <v>0</v>
      </c>
      <c r="R574" s="69">
        <f t="shared" si="878"/>
        <v>0</v>
      </c>
      <c r="U574" s="68">
        <f t="shared" si="871"/>
        <v>0</v>
      </c>
      <c r="V574" s="62">
        <f t="shared" si="811"/>
        <v>0</v>
      </c>
      <c r="W574" s="69">
        <f t="shared" si="879"/>
        <v>0</v>
      </c>
      <c r="Y574" s="75">
        <f>$AD$572*B574/$G$572</f>
        <v>0</v>
      </c>
      <c r="Z574" s="68">
        <f t="shared" si="873"/>
        <v>0</v>
      </c>
      <c r="AA574" s="68">
        <f t="shared" si="812"/>
        <v>0</v>
      </c>
      <c r="AB574" s="69">
        <f t="shared" si="874"/>
        <v>0</v>
      </c>
      <c r="AD574" s="75">
        <f>$AD$572*G574/$G$572</f>
        <v>0</v>
      </c>
    </row>
    <row r="575" spans="1:34" outlineLevel="2" x14ac:dyDescent="0.25">
      <c r="B575" s="71">
        <v>2149</v>
      </c>
      <c r="C575" s="56" t="s">
        <v>48</v>
      </c>
      <c r="E575" s="73">
        <v>19.78</v>
      </c>
      <c r="F575" s="74">
        <f t="shared" si="905"/>
        <v>25.17</v>
      </c>
      <c r="G575" s="75">
        <v>3.5</v>
      </c>
      <c r="H575" s="56" t="s">
        <v>43</v>
      </c>
      <c r="I575" s="73">
        <f t="shared" si="866"/>
        <v>7.1914285714285722</v>
      </c>
      <c r="K575" s="68">
        <f t="shared" si="867"/>
        <v>0</v>
      </c>
      <c r="L575" s="62">
        <f t="shared" si="813"/>
        <v>0</v>
      </c>
      <c r="M575" s="69">
        <f t="shared" si="877"/>
        <v>0</v>
      </c>
      <c r="P575" s="68">
        <f t="shared" si="869"/>
        <v>0</v>
      </c>
      <c r="Q575" s="62">
        <f t="shared" si="815"/>
        <v>0</v>
      </c>
      <c r="R575" s="69">
        <f t="shared" si="878"/>
        <v>0</v>
      </c>
      <c r="U575" s="68">
        <f t="shared" si="871"/>
        <v>0</v>
      </c>
      <c r="V575" s="62">
        <f t="shared" si="811"/>
        <v>0</v>
      </c>
      <c r="W575" s="69">
        <f t="shared" si="879"/>
        <v>0</v>
      </c>
      <c r="Y575" s="75">
        <f>$AD$572*B575/$G$572</f>
        <v>0</v>
      </c>
      <c r="Z575" s="68">
        <f t="shared" si="873"/>
        <v>0</v>
      </c>
      <c r="AA575" s="68">
        <f t="shared" si="812"/>
        <v>0</v>
      </c>
      <c r="AB575" s="69">
        <f t="shared" si="874"/>
        <v>0</v>
      </c>
      <c r="AD575" s="75">
        <f>$AD$572*G575/$G$572</f>
        <v>0</v>
      </c>
    </row>
    <row r="576" spans="1:34" outlineLevel="2" x14ac:dyDescent="0.25">
      <c r="B576" s="71">
        <v>3254</v>
      </c>
      <c r="C576" s="56" t="s">
        <v>84</v>
      </c>
      <c r="E576" s="73">
        <v>780.81</v>
      </c>
      <c r="F576" s="74">
        <f t="shared" si="905"/>
        <v>993.65</v>
      </c>
      <c r="G576" s="75">
        <v>100</v>
      </c>
      <c r="H576" s="56" t="s">
        <v>41</v>
      </c>
      <c r="I576" s="73">
        <f t="shared" si="866"/>
        <v>9.9365000000000006</v>
      </c>
      <c r="K576" s="68">
        <f t="shared" si="867"/>
        <v>0</v>
      </c>
      <c r="L576" s="62">
        <f t="shared" si="813"/>
        <v>0</v>
      </c>
      <c r="M576" s="69">
        <f t="shared" si="877"/>
        <v>0</v>
      </c>
      <c r="P576" s="68">
        <f t="shared" si="869"/>
        <v>0</v>
      </c>
      <c r="Q576" s="62">
        <f t="shared" si="815"/>
        <v>0</v>
      </c>
      <c r="R576" s="69">
        <f t="shared" si="878"/>
        <v>0</v>
      </c>
      <c r="U576" s="68">
        <f t="shared" si="871"/>
        <v>0</v>
      </c>
      <c r="V576" s="62">
        <f t="shared" si="811"/>
        <v>0</v>
      </c>
      <c r="W576" s="69">
        <f t="shared" si="879"/>
        <v>0</v>
      </c>
      <c r="Y576" s="75">
        <f>$AD$572*B576/$G$572</f>
        <v>0</v>
      </c>
      <c r="Z576" s="68">
        <f t="shared" si="873"/>
        <v>0</v>
      </c>
      <c r="AA576" s="68">
        <f t="shared" si="812"/>
        <v>0</v>
      </c>
      <c r="AB576" s="69">
        <f t="shared" si="874"/>
        <v>0</v>
      </c>
      <c r="AD576" s="75">
        <f>$AD$572*G576/$G$572</f>
        <v>0</v>
      </c>
    </row>
    <row r="577" spans="1:34" outlineLevel="2" x14ac:dyDescent="0.25">
      <c r="B577" s="71">
        <v>3710</v>
      </c>
      <c r="C577" s="56" t="s">
        <v>286</v>
      </c>
      <c r="E577" s="73">
        <v>452.02</v>
      </c>
      <c r="F577" s="74">
        <f t="shared" si="905"/>
        <v>575.23</v>
      </c>
      <c r="G577" s="75">
        <v>50</v>
      </c>
      <c r="H577" s="56" t="s">
        <v>40</v>
      </c>
      <c r="I577" s="73">
        <f t="shared" si="866"/>
        <v>11.5046</v>
      </c>
      <c r="K577" s="68">
        <f t="shared" si="867"/>
        <v>0</v>
      </c>
      <c r="L577" s="62">
        <f t="shared" si="813"/>
        <v>0</v>
      </c>
      <c r="M577" s="69">
        <f t="shared" si="877"/>
        <v>0</v>
      </c>
      <c r="P577" s="68">
        <f t="shared" si="869"/>
        <v>0</v>
      </c>
      <c r="Q577" s="62">
        <f t="shared" si="815"/>
        <v>0</v>
      </c>
      <c r="R577" s="69">
        <f t="shared" si="878"/>
        <v>0</v>
      </c>
      <c r="U577" s="68">
        <f t="shared" si="871"/>
        <v>0</v>
      </c>
      <c r="V577" s="62">
        <f t="shared" si="811"/>
        <v>0</v>
      </c>
      <c r="W577" s="69">
        <f t="shared" si="879"/>
        <v>0</v>
      </c>
      <c r="Y577" s="75">
        <f>$AD$572*B577/$G$572</f>
        <v>0</v>
      </c>
      <c r="Z577" s="68">
        <f t="shared" si="873"/>
        <v>0</v>
      </c>
      <c r="AA577" s="68">
        <f t="shared" si="812"/>
        <v>0</v>
      </c>
      <c r="AB577" s="69">
        <f t="shared" si="874"/>
        <v>0</v>
      </c>
      <c r="AD577" s="75">
        <f>$AD$572*G577/$G$572</f>
        <v>0</v>
      </c>
    </row>
    <row r="578" spans="1:34" outlineLevel="1" x14ac:dyDescent="0.25">
      <c r="A578" s="67"/>
      <c r="B578" s="66"/>
      <c r="C578" s="67" t="s">
        <v>290</v>
      </c>
      <c r="D578" s="68"/>
      <c r="E578" s="68">
        <v>988.1</v>
      </c>
      <c r="F578" s="68">
        <f t="shared" si="905"/>
        <v>1257.44</v>
      </c>
      <c r="G578" s="69">
        <v>3</v>
      </c>
      <c r="H578" s="67" t="s">
        <v>39</v>
      </c>
      <c r="I578" s="68">
        <f t="shared" si="866"/>
        <v>419.1466666666667</v>
      </c>
      <c r="J578" s="69"/>
      <c r="K578" s="68">
        <f t="shared" si="867"/>
        <v>0</v>
      </c>
      <c r="L578" s="62">
        <f t="shared" si="813"/>
        <v>0</v>
      </c>
      <c r="M578" s="69">
        <f t="shared" si="877"/>
        <v>0</v>
      </c>
      <c r="N578" s="70">
        <f t="shared" ref="N578" si="906">100%-(L578/$F578)</f>
        <v>1</v>
      </c>
      <c r="O578" s="69">
        <v>3</v>
      </c>
      <c r="P578" s="68">
        <f t="shared" si="869"/>
        <v>1257.44</v>
      </c>
      <c r="Q578" s="62">
        <f t="shared" si="815"/>
        <v>0</v>
      </c>
      <c r="R578" s="69">
        <f t="shared" si="878"/>
        <v>0</v>
      </c>
      <c r="S578" s="70">
        <f t="shared" ref="S578" si="907">100%-(Q578/$F578)</f>
        <v>1</v>
      </c>
      <c r="T578" s="69"/>
      <c r="U578" s="68">
        <f t="shared" si="871"/>
        <v>0</v>
      </c>
      <c r="V578" s="62">
        <f t="shared" si="811"/>
        <v>1257.44</v>
      </c>
      <c r="W578" s="69">
        <f t="shared" si="879"/>
        <v>3</v>
      </c>
      <c r="X578" s="70">
        <f t="shared" ref="X578" si="908">100%-(V578/$F578)</f>
        <v>0</v>
      </c>
      <c r="Y578" s="69"/>
      <c r="Z578" s="68">
        <f t="shared" si="873"/>
        <v>0</v>
      </c>
      <c r="AA578" s="68">
        <f t="shared" si="812"/>
        <v>1257.44</v>
      </c>
      <c r="AB578" s="69">
        <f t="shared" si="874"/>
        <v>3</v>
      </c>
      <c r="AC578" s="70">
        <f t="shared" ref="AC578" si="909">100%-(AA578/$F578)</f>
        <v>0</v>
      </c>
      <c r="AD578" s="69"/>
      <c r="AE578" s="68">
        <f>AD578*I578</f>
        <v>0</v>
      </c>
      <c r="AF578" s="68">
        <f>F578-AE578</f>
        <v>1257.44</v>
      </c>
      <c r="AG578" s="69">
        <f>G578-AD578</f>
        <v>3</v>
      </c>
      <c r="AH578" s="70">
        <f t="shared" ref="AH578" si="910">100%-(AF578/$F578)</f>
        <v>0</v>
      </c>
    </row>
    <row r="579" spans="1:34" outlineLevel="2" x14ac:dyDescent="0.25">
      <c r="B579" s="71">
        <v>2705</v>
      </c>
      <c r="C579" s="56" t="s">
        <v>274</v>
      </c>
      <c r="E579" s="73">
        <v>267.37</v>
      </c>
      <c r="F579" s="74">
        <f t="shared" si="905"/>
        <v>340.25</v>
      </c>
      <c r="G579" s="75">
        <v>1</v>
      </c>
      <c r="H579" s="56" t="s">
        <v>34</v>
      </c>
      <c r="I579" s="73">
        <f t="shared" si="866"/>
        <v>340.25</v>
      </c>
      <c r="K579" s="68">
        <f t="shared" si="867"/>
        <v>0</v>
      </c>
      <c r="L579" s="62">
        <f t="shared" si="813"/>
        <v>0</v>
      </c>
      <c r="M579" s="69">
        <f t="shared" si="877"/>
        <v>0</v>
      </c>
      <c r="P579" s="68">
        <f t="shared" si="869"/>
        <v>0</v>
      </c>
      <c r="Q579" s="62">
        <f t="shared" si="815"/>
        <v>0</v>
      </c>
      <c r="R579" s="69">
        <f t="shared" si="878"/>
        <v>0</v>
      </c>
      <c r="U579" s="68">
        <f t="shared" si="871"/>
        <v>0</v>
      </c>
      <c r="V579" s="62">
        <f t="shared" si="811"/>
        <v>0</v>
      </c>
      <c r="W579" s="69">
        <f t="shared" si="879"/>
        <v>0</v>
      </c>
      <c r="Z579" s="68">
        <f t="shared" si="873"/>
        <v>0</v>
      </c>
      <c r="AA579" s="68">
        <f t="shared" si="812"/>
        <v>0</v>
      </c>
      <c r="AB579" s="69">
        <f t="shared" si="874"/>
        <v>0</v>
      </c>
      <c r="AD579" s="75">
        <f>AD578*G579/G578</f>
        <v>0</v>
      </c>
    </row>
    <row r="580" spans="1:34" outlineLevel="2" x14ac:dyDescent="0.25">
      <c r="B580" s="71">
        <v>2700</v>
      </c>
      <c r="C580" s="56" t="s">
        <v>277</v>
      </c>
      <c r="E580" s="73">
        <v>720.73</v>
      </c>
      <c r="F580" s="74">
        <f t="shared" si="905"/>
        <v>917.19</v>
      </c>
      <c r="G580" s="75">
        <v>1</v>
      </c>
      <c r="H580" s="56" t="s">
        <v>34</v>
      </c>
      <c r="I580" s="73">
        <f t="shared" si="866"/>
        <v>917.19</v>
      </c>
      <c r="K580" s="68">
        <f t="shared" si="867"/>
        <v>0</v>
      </c>
      <c r="L580" s="62">
        <f t="shared" si="813"/>
        <v>0</v>
      </c>
      <c r="M580" s="69">
        <f t="shared" si="877"/>
        <v>0</v>
      </c>
      <c r="P580" s="68">
        <f t="shared" si="869"/>
        <v>0</v>
      </c>
      <c r="Q580" s="62">
        <f t="shared" si="815"/>
        <v>0</v>
      </c>
      <c r="R580" s="69">
        <f t="shared" si="878"/>
        <v>0</v>
      </c>
      <c r="U580" s="68">
        <f t="shared" si="871"/>
        <v>0</v>
      </c>
      <c r="V580" s="62">
        <f t="shared" si="811"/>
        <v>0</v>
      </c>
      <c r="W580" s="69">
        <f t="shared" si="879"/>
        <v>0</v>
      </c>
      <c r="Z580" s="68">
        <f t="shared" si="873"/>
        <v>0</v>
      </c>
      <c r="AA580" s="68">
        <f t="shared" si="812"/>
        <v>0</v>
      </c>
      <c r="AB580" s="69">
        <f t="shared" si="874"/>
        <v>0</v>
      </c>
      <c r="AD580" s="75">
        <f>AD578*G580/G578</f>
        <v>0</v>
      </c>
    </row>
    <row r="581" spans="1:34" outlineLevel="1" x14ac:dyDescent="0.25">
      <c r="A581" s="67"/>
      <c r="B581" s="66"/>
      <c r="C581" s="67" t="s">
        <v>291</v>
      </c>
      <c r="D581" s="68"/>
      <c r="E581" s="68">
        <v>1957.32</v>
      </c>
      <c r="F581" s="68">
        <f t="shared" si="905"/>
        <v>2490.86</v>
      </c>
      <c r="G581" s="69">
        <v>3</v>
      </c>
      <c r="H581" s="67" t="s">
        <v>39</v>
      </c>
      <c r="I581" s="68">
        <f t="shared" si="866"/>
        <v>830.28666666666675</v>
      </c>
      <c r="J581" s="69"/>
      <c r="K581" s="68">
        <f t="shared" si="867"/>
        <v>0</v>
      </c>
      <c r="L581" s="62">
        <f t="shared" si="813"/>
        <v>0</v>
      </c>
      <c r="M581" s="69">
        <f t="shared" si="877"/>
        <v>0</v>
      </c>
      <c r="N581" s="70">
        <f t="shared" ref="N581" si="911">100%-(L581/$F581)</f>
        <v>1</v>
      </c>
      <c r="O581" s="69">
        <v>3</v>
      </c>
      <c r="P581" s="68">
        <f t="shared" si="869"/>
        <v>2490.86</v>
      </c>
      <c r="Q581" s="62">
        <f t="shared" si="815"/>
        <v>0</v>
      </c>
      <c r="R581" s="69">
        <f t="shared" si="878"/>
        <v>0</v>
      </c>
      <c r="S581" s="70">
        <f t="shared" ref="S581" si="912">100%-(Q581/$F581)</f>
        <v>1</v>
      </c>
      <c r="T581" s="69"/>
      <c r="U581" s="68">
        <f t="shared" si="871"/>
        <v>0</v>
      </c>
      <c r="V581" s="62">
        <f t="shared" ref="V581:V644" si="913">+AA581-U581</f>
        <v>2490.86</v>
      </c>
      <c r="W581" s="69">
        <f t="shared" si="879"/>
        <v>3</v>
      </c>
      <c r="X581" s="70">
        <f t="shared" ref="X581" si="914">100%-(V581/$F581)</f>
        <v>0</v>
      </c>
      <c r="Y581" s="69"/>
      <c r="Z581" s="68">
        <f t="shared" si="873"/>
        <v>0</v>
      </c>
      <c r="AA581" s="68">
        <f t="shared" ref="AA581:AA644" si="915">+AF581-Z581</f>
        <v>2490.86</v>
      </c>
      <c r="AB581" s="69">
        <f t="shared" si="874"/>
        <v>3</v>
      </c>
      <c r="AC581" s="70">
        <f t="shared" ref="AC581" si="916">100%-(AA581/$F581)</f>
        <v>0</v>
      </c>
      <c r="AD581" s="69"/>
      <c r="AE581" s="68">
        <f>AD581*I581</f>
        <v>0</v>
      </c>
      <c r="AF581" s="68">
        <f>F581-AE581</f>
        <v>2490.86</v>
      </c>
      <c r="AG581" s="69">
        <f>G581-AD581</f>
        <v>3</v>
      </c>
      <c r="AH581" s="70">
        <f t="shared" ref="AH581" si="917">100%-(AF581/$F581)</f>
        <v>0</v>
      </c>
    </row>
    <row r="582" spans="1:34" outlineLevel="2" x14ac:dyDescent="0.25">
      <c r="B582" s="71">
        <v>2705</v>
      </c>
      <c r="C582" s="56" t="s">
        <v>274</v>
      </c>
      <c r="E582" s="73">
        <v>1115.81</v>
      </c>
      <c r="F582" s="74">
        <f t="shared" si="905"/>
        <v>1419.96</v>
      </c>
      <c r="G582" s="75">
        <v>1</v>
      </c>
      <c r="H582" s="56" t="s">
        <v>34</v>
      </c>
      <c r="I582" s="73">
        <f t="shared" si="866"/>
        <v>1419.96</v>
      </c>
      <c r="K582" s="68">
        <f t="shared" si="867"/>
        <v>0</v>
      </c>
      <c r="L582" s="62">
        <f t="shared" si="813"/>
        <v>0</v>
      </c>
      <c r="M582" s="69">
        <f t="shared" si="877"/>
        <v>0</v>
      </c>
      <c r="P582" s="68">
        <f t="shared" si="869"/>
        <v>0</v>
      </c>
      <c r="Q582" s="62">
        <f t="shared" si="815"/>
        <v>0</v>
      </c>
      <c r="R582" s="69">
        <f t="shared" si="878"/>
        <v>0</v>
      </c>
      <c r="U582" s="68">
        <f t="shared" si="871"/>
        <v>0</v>
      </c>
      <c r="V582" s="62">
        <f t="shared" si="913"/>
        <v>0</v>
      </c>
      <c r="W582" s="69">
        <f t="shared" si="879"/>
        <v>0</v>
      </c>
      <c r="Z582" s="68">
        <f t="shared" si="873"/>
        <v>0</v>
      </c>
      <c r="AA582" s="68">
        <f t="shared" si="915"/>
        <v>0</v>
      </c>
      <c r="AB582" s="69">
        <f t="shared" si="874"/>
        <v>0</v>
      </c>
      <c r="AD582" s="75">
        <f>AD581*G582/G581</f>
        <v>0</v>
      </c>
    </row>
    <row r="583" spans="1:34" outlineLevel="2" x14ac:dyDescent="0.25">
      <c r="B583" s="71">
        <v>2700</v>
      </c>
      <c r="C583" s="56" t="s">
        <v>277</v>
      </c>
      <c r="E583" s="73">
        <v>841.5</v>
      </c>
      <c r="F583" s="74">
        <f t="shared" si="905"/>
        <v>1070.8800000000001</v>
      </c>
      <c r="G583" s="75">
        <v>1</v>
      </c>
      <c r="H583" s="56" t="s">
        <v>34</v>
      </c>
      <c r="I583" s="73">
        <f t="shared" si="866"/>
        <v>1070.8800000000001</v>
      </c>
      <c r="K583" s="68">
        <f t="shared" si="867"/>
        <v>0</v>
      </c>
      <c r="L583" s="62">
        <f t="shared" ref="L583:L599" si="918">+Q583-K583</f>
        <v>0</v>
      </c>
      <c r="M583" s="69">
        <f t="shared" si="877"/>
        <v>0</v>
      </c>
      <c r="P583" s="68">
        <f t="shared" si="869"/>
        <v>0</v>
      </c>
      <c r="Q583" s="62">
        <f t="shared" ref="Q583:Q599" si="919">+V583-P583</f>
        <v>0</v>
      </c>
      <c r="R583" s="69">
        <f t="shared" si="878"/>
        <v>0</v>
      </c>
      <c r="U583" s="68">
        <f t="shared" si="871"/>
        <v>0</v>
      </c>
      <c r="V583" s="62">
        <f t="shared" si="913"/>
        <v>0</v>
      </c>
      <c r="W583" s="69">
        <f t="shared" si="879"/>
        <v>0</v>
      </c>
      <c r="Z583" s="68">
        <f t="shared" si="873"/>
        <v>0</v>
      </c>
      <c r="AA583" s="68">
        <f t="shared" si="915"/>
        <v>0</v>
      </c>
      <c r="AB583" s="69">
        <f t="shared" si="874"/>
        <v>0</v>
      </c>
      <c r="AD583" s="75">
        <f>AD581*G583/G581</f>
        <v>0</v>
      </c>
    </row>
    <row r="584" spans="1:34" outlineLevel="1" x14ac:dyDescent="0.25">
      <c r="A584" s="67"/>
      <c r="B584" s="66"/>
      <c r="C584" s="67" t="s">
        <v>292</v>
      </c>
      <c r="D584" s="68"/>
      <c r="E584" s="68">
        <v>2048.7600000000002</v>
      </c>
      <c r="F584" s="68">
        <f t="shared" si="905"/>
        <v>2607.2199999999998</v>
      </c>
      <c r="G584" s="69">
        <v>3</v>
      </c>
      <c r="H584" s="67" t="s">
        <v>39</v>
      </c>
      <c r="I584" s="68">
        <f t="shared" si="866"/>
        <v>869.07333333333327</v>
      </c>
      <c r="J584" s="69"/>
      <c r="K584" s="68">
        <f t="shared" si="867"/>
        <v>0</v>
      </c>
      <c r="L584" s="62">
        <f t="shared" si="918"/>
        <v>2607.2199999999998</v>
      </c>
      <c r="M584" s="69">
        <f t="shared" si="877"/>
        <v>3</v>
      </c>
      <c r="N584" s="70">
        <f t="shared" ref="N584" si="920">100%-(L584/$F584)</f>
        <v>0</v>
      </c>
      <c r="O584" s="69"/>
      <c r="P584" s="68">
        <f t="shared" si="869"/>
        <v>0</v>
      </c>
      <c r="Q584" s="62">
        <f t="shared" si="919"/>
        <v>2607.2199999999998</v>
      </c>
      <c r="R584" s="69">
        <f t="shared" si="878"/>
        <v>3</v>
      </c>
      <c r="S584" s="70">
        <f t="shared" ref="S584" si="921">100%-(Q584/$F584)</f>
        <v>0</v>
      </c>
      <c r="T584" s="69"/>
      <c r="U584" s="68">
        <f t="shared" si="871"/>
        <v>0</v>
      </c>
      <c r="V584" s="62">
        <f t="shared" si="913"/>
        <v>2607.2199999999998</v>
      </c>
      <c r="W584" s="69">
        <f t="shared" si="879"/>
        <v>3</v>
      </c>
      <c r="X584" s="70">
        <f t="shared" ref="X584" si="922">100%-(V584/$F584)</f>
        <v>0</v>
      </c>
      <c r="Y584" s="69"/>
      <c r="Z584" s="68">
        <f t="shared" si="873"/>
        <v>0</v>
      </c>
      <c r="AA584" s="68">
        <f t="shared" si="915"/>
        <v>2607.2199999999998</v>
      </c>
      <c r="AB584" s="69">
        <f t="shared" si="874"/>
        <v>3</v>
      </c>
      <c r="AC584" s="70">
        <f t="shared" ref="AC584" si="923">100%-(AA584/$F584)</f>
        <v>0</v>
      </c>
      <c r="AD584" s="69"/>
      <c r="AE584" s="68">
        <f>AD584*I584</f>
        <v>0</v>
      </c>
      <c r="AF584" s="68">
        <f>F584-AE584</f>
        <v>2607.2199999999998</v>
      </c>
      <c r="AG584" s="69">
        <f>G584-AD584</f>
        <v>3</v>
      </c>
      <c r="AH584" s="70">
        <f t="shared" ref="AH584" si="924">100%-(AF584/$F584)</f>
        <v>0</v>
      </c>
    </row>
    <row r="585" spans="1:34" outlineLevel="2" x14ac:dyDescent="0.25">
      <c r="B585" s="71">
        <v>2705</v>
      </c>
      <c r="C585" s="56" t="s">
        <v>274</v>
      </c>
      <c r="E585" s="73">
        <v>1115.81</v>
      </c>
      <c r="F585" s="74">
        <f t="shared" si="905"/>
        <v>1419.96</v>
      </c>
      <c r="G585" s="75">
        <v>1</v>
      </c>
      <c r="H585" s="56" t="s">
        <v>34</v>
      </c>
      <c r="I585" s="73">
        <f t="shared" si="866"/>
        <v>1419.96</v>
      </c>
      <c r="K585" s="68">
        <f t="shared" si="867"/>
        <v>0</v>
      </c>
      <c r="L585" s="62">
        <f t="shared" si="918"/>
        <v>0</v>
      </c>
      <c r="M585" s="69">
        <f t="shared" si="877"/>
        <v>0</v>
      </c>
      <c r="P585" s="68">
        <f t="shared" si="869"/>
        <v>0</v>
      </c>
      <c r="Q585" s="62">
        <f t="shared" si="919"/>
        <v>0</v>
      </c>
      <c r="R585" s="69">
        <f t="shared" si="878"/>
        <v>0</v>
      </c>
      <c r="U585" s="68">
        <f t="shared" si="871"/>
        <v>0</v>
      </c>
      <c r="V585" s="62">
        <f t="shared" si="913"/>
        <v>0</v>
      </c>
      <c r="W585" s="69">
        <f t="shared" si="879"/>
        <v>0</v>
      </c>
      <c r="Z585" s="68">
        <f t="shared" si="873"/>
        <v>0</v>
      </c>
      <c r="AA585" s="68">
        <f t="shared" si="915"/>
        <v>0</v>
      </c>
      <c r="AB585" s="69">
        <f t="shared" si="874"/>
        <v>0</v>
      </c>
      <c r="AD585" s="75">
        <f>AD584*G585/G584</f>
        <v>0</v>
      </c>
    </row>
    <row r="586" spans="1:34" outlineLevel="2" x14ac:dyDescent="0.25">
      <c r="B586" s="71">
        <v>2700</v>
      </c>
      <c r="C586" s="56" t="s">
        <v>277</v>
      </c>
      <c r="E586" s="73">
        <v>932.95</v>
      </c>
      <c r="F586" s="74">
        <f t="shared" si="905"/>
        <v>1187.26</v>
      </c>
      <c r="G586" s="75">
        <v>1</v>
      </c>
      <c r="H586" s="56" t="s">
        <v>34</v>
      </c>
      <c r="I586" s="73">
        <f t="shared" si="866"/>
        <v>1187.26</v>
      </c>
      <c r="K586" s="68">
        <f t="shared" si="867"/>
        <v>0</v>
      </c>
      <c r="L586" s="62">
        <f t="shared" si="918"/>
        <v>0</v>
      </c>
      <c r="M586" s="69">
        <f t="shared" si="877"/>
        <v>0</v>
      </c>
      <c r="P586" s="68">
        <f t="shared" si="869"/>
        <v>0</v>
      </c>
      <c r="Q586" s="62">
        <f t="shared" si="919"/>
        <v>0</v>
      </c>
      <c r="R586" s="69">
        <f t="shared" si="878"/>
        <v>0</v>
      </c>
      <c r="U586" s="68">
        <f t="shared" si="871"/>
        <v>0</v>
      </c>
      <c r="V586" s="62">
        <f t="shared" si="913"/>
        <v>0</v>
      </c>
      <c r="W586" s="69">
        <f t="shared" si="879"/>
        <v>0</v>
      </c>
      <c r="Z586" s="68">
        <f t="shared" si="873"/>
        <v>0</v>
      </c>
      <c r="AA586" s="68">
        <f t="shared" si="915"/>
        <v>0</v>
      </c>
      <c r="AB586" s="69">
        <f t="shared" si="874"/>
        <v>0</v>
      </c>
      <c r="AD586" s="75">
        <f>AD584*G586/G584</f>
        <v>0</v>
      </c>
    </row>
    <row r="587" spans="1:34" outlineLevel="1" x14ac:dyDescent="0.25">
      <c r="A587" s="67"/>
      <c r="B587" s="66"/>
      <c r="C587" s="67" t="s">
        <v>298</v>
      </c>
      <c r="D587" s="68"/>
      <c r="E587" s="68">
        <v>80915</v>
      </c>
      <c r="F587" s="68">
        <f t="shared" si="905"/>
        <v>102971.33</v>
      </c>
      <c r="G587" s="69">
        <v>177</v>
      </c>
      <c r="H587" s="67" t="s">
        <v>40</v>
      </c>
      <c r="I587" s="68">
        <f t="shared" si="866"/>
        <v>581.75892655367238</v>
      </c>
      <c r="J587" s="69"/>
      <c r="K587" s="68">
        <f t="shared" si="867"/>
        <v>0</v>
      </c>
      <c r="L587" s="62">
        <f t="shared" si="918"/>
        <v>91336.151468926546</v>
      </c>
      <c r="M587" s="69">
        <f t="shared" si="877"/>
        <v>157</v>
      </c>
      <c r="N587" s="70">
        <f t="shared" ref="N587" si="925">100%-(L587/$F587)</f>
        <v>0.11299435028248594</v>
      </c>
      <c r="O587" s="69"/>
      <c r="P587" s="68">
        <f t="shared" si="869"/>
        <v>0</v>
      </c>
      <c r="Q587" s="62">
        <f t="shared" si="919"/>
        <v>91336.151468926546</v>
      </c>
      <c r="R587" s="69">
        <f t="shared" si="878"/>
        <v>157</v>
      </c>
      <c r="S587" s="70">
        <f t="shared" ref="S587" si="926">100%-(Q587/$F587)</f>
        <v>0.11299435028248594</v>
      </c>
      <c r="T587" s="69"/>
      <c r="U587" s="68">
        <f t="shared" si="871"/>
        <v>0</v>
      </c>
      <c r="V587" s="62">
        <f t="shared" si="913"/>
        <v>91336.151468926546</v>
      </c>
      <c r="W587" s="69">
        <f t="shared" si="879"/>
        <v>157</v>
      </c>
      <c r="X587" s="70">
        <f t="shared" ref="X587" si="927">100%-(V587/$F587)</f>
        <v>0.11299435028248594</v>
      </c>
      <c r="Y587" s="69">
        <v>20</v>
      </c>
      <c r="Z587" s="68">
        <f t="shared" si="873"/>
        <v>11635.178531073449</v>
      </c>
      <c r="AA587" s="68">
        <f t="shared" si="915"/>
        <v>91336.151468926546</v>
      </c>
      <c r="AB587" s="69">
        <f t="shared" si="874"/>
        <v>157</v>
      </c>
      <c r="AC587" s="70">
        <f t="shared" ref="AC587" si="928">100%-(AA587/$F587)</f>
        <v>0.11299435028248594</v>
      </c>
      <c r="AD587" s="69"/>
      <c r="AE587" s="68">
        <f>AD587*I587</f>
        <v>0</v>
      </c>
      <c r="AF587" s="68">
        <f>F587-AE587</f>
        <v>102971.33</v>
      </c>
      <c r="AG587" s="69">
        <f>G587-AD587</f>
        <v>177</v>
      </c>
      <c r="AH587" s="70">
        <f t="shared" ref="AH587" si="929">100%-(AF587/$F587)</f>
        <v>0</v>
      </c>
    </row>
    <row r="588" spans="1:34" outlineLevel="2" x14ac:dyDescent="0.25">
      <c r="B588" s="71">
        <v>2700</v>
      </c>
      <c r="C588" s="56" t="s">
        <v>277</v>
      </c>
      <c r="E588" s="73">
        <v>54897.99</v>
      </c>
      <c r="F588" s="74">
        <f t="shared" si="905"/>
        <v>69862.44</v>
      </c>
      <c r="G588" s="75">
        <v>1</v>
      </c>
      <c r="H588" s="56" t="s">
        <v>34</v>
      </c>
      <c r="I588" s="73">
        <f t="shared" si="866"/>
        <v>69862.44</v>
      </c>
      <c r="L588" s="62">
        <f t="shared" si="918"/>
        <v>0</v>
      </c>
      <c r="M588" s="69">
        <f t="shared" si="877"/>
        <v>0</v>
      </c>
      <c r="Q588" s="62">
        <f t="shared" si="919"/>
        <v>0</v>
      </c>
      <c r="R588" s="69">
        <f t="shared" si="878"/>
        <v>0</v>
      </c>
      <c r="V588" s="62">
        <f t="shared" si="913"/>
        <v>0</v>
      </c>
      <c r="W588" s="69">
        <f t="shared" si="879"/>
        <v>0</v>
      </c>
      <c r="AA588" s="68">
        <f t="shared" si="915"/>
        <v>0</v>
      </c>
      <c r="AB588" s="69">
        <f t="shared" si="874"/>
        <v>0</v>
      </c>
      <c r="AD588" s="75">
        <f>AD587*G588/G587</f>
        <v>0</v>
      </c>
    </row>
    <row r="589" spans="1:34" outlineLevel="2" x14ac:dyDescent="0.25">
      <c r="B589" s="71">
        <v>2705</v>
      </c>
      <c r="C589" s="56" t="s">
        <v>274</v>
      </c>
      <c r="E589" s="73">
        <v>26017.01</v>
      </c>
      <c r="F589" s="74">
        <f t="shared" si="905"/>
        <v>33108.89</v>
      </c>
      <c r="G589" s="75">
        <v>1</v>
      </c>
      <c r="H589" s="56" t="s">
        <v>34</v>
      </c>
      <c r="I589" s="73">
        <f t="shared" si="866"/>
        <v>33108.89</v>
      </c>
      <c r="L589" s="62">
        <f t="shared" si="918"/>
        <v>0</v>
      </c>
      <c r="M589" s="69">
        <f t="shared" si="877"/>
        <v>0</v>
      </c>
      <c r="Q589" s="62">
        <f t="shared" si="919"/>
        <v>0</v>
      </c>
      <c r="R589" s="69">
        <f t="shared" si="878"/>
        <v>0</v>
      </c>
      <c r="V589" s="62">
        <f t="shared" si="913"/>
        <v>0</v>
      </c>
      <c r="W589" s="69">
        <f t="shared" si="879"/>
        <v>0</v>
      </c>
      <c r="AA589" s="68">
        <f t="shared" si="915"/>
        <v>0</v>
      </c>
      <c r="AB589" s="69">
        <f t="shared" si="874"/>
        <v>0</v>
      </c>
      <c r="AD589" s="75">
        <f>AD587*G589/G587</f>
        <v>0</v>
      </c>
    </row>
    <row r="590" spans="1:34" outlineLevel="1" x14ac:dyDescent="0.25">
      <c r="A590" s="79"/>
      <c r="B590" s="80"/>
      <c r="C590" s="79" t="s">
        <v>300</v>
      </c>
      <c r="D590" s="81"/>
      <c r="E590" s="81">
        <v>227234.39</v>
      </c>
      <c r="F590" s="81">
        <f t="shared" si="905"/>
        <v>289175.40000000002</v>
      </c>
      <c r="G590" s="82"/>
      <c r="H590" s="79"/>
      <c r="I590" s="81"/>
      <c r="J590" s="82"/>
      <c r="K590" s="81">
        <f>SUM(K591,K594,K597)</f>
        <v>0</v>
      </c>
      <c r="L590" s="62">
        <f t="shared" si="918"/>
        <v>289175.40000000002</v>
      </c>
      <c r="M590" s="69">
        <f t="shared" si="877"/>
        <v>0</v>
      </c>
      <c r="N590" s="83"/>
      <c r="O590" s="82"/>
      <c r="P590" s="81">
        <f>SUM(P591,P594,P597)</f>
        <v>0</v>
      </c>
      <c r="Q590" s="62">
        <f t="shared" si="919"/>
        <v>289175.40000000002</v>
      </c>
      <c r="R590" s="69">
        <f t="shared" si="878"/>
        <v>0</v>
      </c>
      <c r="S590" s="83"/>
      <c r="T590" s="82"/>
      <c r="U590" s="81">
        <f>SUM(U591,U594,U597)</f>
        <v>0</v>
      </c>
      <c r="V590" s="62">
        <f t="shared" si="913"/>
        <v>289175.40000000002</v>
      </c>
      <c r="W590" s="69">
        <f t="shared" si="879"/>
        <v>0</v>
      </c>
      <c r="X590" s="83"/>
      <c r="Y590" s="82"/>
      <c r="Z590" s="81">
        <f>SUM(Z591,Z594,Z597)</f>
        <v>0</v>
      </c>
      <c r="AA590" s="68">
        <f t="shared" si="915"/>
        <v>289175.40000000002</v>
      </c>
      <c r="AB590" s="69">
        <f t="shared" si="874"/>
        <v>0</v>
      </c>
      <c r="AC590" s="83"/>
      <c r="AD590" s="82"/>
      <c r="AE590" s="81">
        <f>SUM(AE591,AE594,AE597)</f>
        <v>0</v>
      </c>
      <c r="AF590" s="81">
        <f>SUM(AF591,AF594,AF597)</f>
        <v>289175.40000000002</v>
      </c>
      <c r="AG590" s="82"/>
      <c r="AH590" s="83"/>
    </row>
    <row r="591" spans="1:34" outlineLevel="1" x14ac:dyDescent="0.25">
      <c r="A591" s="67"/>
      <c r="B591" s="66"/>
      <c r="C591" s="67" t="s">
        <v>301</v>
      </c>
      <c r="D591" s="68"/>
      <c r="E591" s="68">
        <v>191976.83</v>
      </c>
      <c r="F591" s="68">
        <f t="shared" si="905"/>
        <v>244307.11</v>
      </c>
      <c r="G591" s="69">
        <v>740</v>
      </c>
      <c r="H591" s="67" t="s">
        <v>40</v>
      </c>
      <c r="I591" s="68">
        <f t="shared" si="866"/>
        <v>330.14474324324323</v>
      </c>
      <c r="J591" s="69"/>
      <c r="K591" s="68">
        <f t="shared" ref="K591:K597" si="930">+J591*$I591</f>
        <v>0</v>
      </c>
      <c r="L591" s="62">
        <f t="shared" si="918"/>
        <v>244307.11</v>
      </c>
      <c r="M591" s="69">
        <f t="shared" si="877"/>
        <v>740</v>
      </c>
      <c r="N591" s="70">
        <f t="shared" ref="N591" si="931">100%-(L591/$F591)</f>
        <v>0</v>
      </c>
      <c r="O591" s="69"/>
      <c r="P591" s="68">
        <f t="shared" ref="P591:P597" si="932">+O591*$I591</f>
        <v>0</v>
      </c>
      <c r="Q591" s="62">
        <f t="shared" si="919"/>
        <v>244307.11</v>
      </c>
      <c r="R591" s="69">
        <f t="shared" si="878"/>
        <v>740</v>
      </c>
      <c r="S591" s="70">
        <f t="shared" ref="S591" si="933">100%-(Q591/$F591)</f>
        <v>0</v>
      </c>
      <c r="T591" s="69"/>
      <c r="U591" s="68">
        <f t="shared" ref="U591:U597" si="934">+T591*$I591</f>
        <v>0</v>
      </c>
      <c r="V591" s="62">
        <f t="shared" si="913"/>
        <v>244307.11</v>
      </c>
      <c r="W591" s="69">
        <f t="shared" si="879"/>
        <v>740</v>
      </c>
      <c r="X591" s="70">
        <f t="shared" ref="X591" si="935">100%-(V591/$F591)</f>
        <v>0</v>
      </c>
      <c r="Y591" s="69"/>
      <c r="Z591" s="68">
        <f>Y591*D591</f>
        <v>0</v>
      </c>
      <c r="AA591" s="68">
        <f t="shared" si="915"/>
        <v>244307.11</v>
      </c>
      <c r="AB591" s="69">
        <f t="shared" si="874"/>
        <v>740</v>
      </c>
      <c r="AC591" s="70">
        <f t="shared" ref="AC591" si="936">100%-(AA591/$F591)</f>
        <v>0</v>
      </c>
      <c r="AD591" s="69"/>
      <c r="AE591" s="68">
        <f>AD591*I591</f>
        <v>0</v>
      </c>
      <c r="AF591" s="68">
        <f>F591-AE591</f>
        <v>244307.11</v>
      </c>
      <c r="AG591" s="69">
        <f>G591-AD591</f>
        <v>740</v>
      </c>
      <c r="AH591" s="70">
        <f t="shared" ref="AH591" si="937">100%-(AF591/$F591)</f>
        <v>0</v>
      </c>
    </row>
    <row r="592" spans="1:34" outlineLevel="2" x14ac:dyDescent="0.25">
      <c r="B592" s="71">
        <v>2700</v>
      </c>
      <c r="C592" s="56" t="s">
        <v>277</v>
      </c>
      <c r="E592" s="73">
        <v>78195.789999999994</v>
      </c>
      <c r="F592" s="74">
        <f t="shared" si="905"/>
        <v>99510.9</v>
      </c>
      <c r="G592" s="75">
        <v>1</v>
      </c>
      <c r="H592" s="56" t="s">
        <v>34</v>
      </c>
      <c r="I592" s="73">
        <f t="shared" si="866"/>
        <v>99510.9</v>
      </c>
      <c r="K592" s="68">
        <f t="shared" si="930"/>
        <v>0</v>
      </c>
      <c r="L592" s="62">
        <f t="shared" si="918"/>
        <v>0</v>
      </c>
      <c r="M592" s="69">
        <f t="shared" si="877"/>
        <v>0</v>
      </c>
      <c r="P592" s="68">
        <f t="shared" si="932"/>
        <v>0</v>
      </c>
      <c r="Q592" s="62">
        <f t="shared" si="919"/>
        <v>0</v>
      </c>
      <c r="R592" s="69">
        <f t="shared" si="878"/>
        <v>0</v>
      </c>
      <c r="U592" s="68">
        <f t="shared" si="934"/>
        <v>0</v>
      </c>
      <c r="V592" s="62">
        <f t="shared" si="913"/>
        <v>0</v>
      </c>
      <c r="W592" s="69">
        <f t="shared" si="879"/>
        <v>0</v>
      </c>
      <c r="AA592" s="68">
        <f t="shared" si="915"/>
        <v>0</v>
      </c>
      <c r="AB592" s="69">
        <f t="shared" si="874"/>
        <v>0</v>
      </c>
      <c r="AD592" s="75">
        <f>AD591*G592/G591</f>
        <v>0</v>
      </c>
    </row>
    <row r="593" spans="1:34" outlineLevel="2" x14ac:dyDescent="0.25">
      <c r="B593" s="71">
        <v>2705</v>
      </c>
      <c r="C593" s="56" t="s">
        <v>274</v>
      </c>
      <c r="E593" s="73">
        <v>113781.03</v>
      </c>
      <c r="F593" s="74">
        <f t="shared" si="905"/>
        <v>144796.20000000001</v>
      </c>
      <c r="G593" s="75">
        <v>1</v>
      </c>
      <c r="H593" s="56" t="s">
        <v>34</v>
      </c>
      <c r="I593" s="73">
        <f t="shared" si="866"/>
        <v>144796.20000000001</v>
      </c>
      <c r="K593" s="68">
        <f t="shared" si="930"/>
        <v>0</v>
      </c>
      <c r="L593" s="62">
        <f t="shared" si="918"/>
        <v>0</v>
      </c>
      <c r="M593" s="69">
        <f t="shared" si="877"/>
        <v>0</v>
      </c>
      <c r="P593" s="68">
        <f t="shared" si="932"/>
        <v>0</v>
      </c>
      <c r="Q593" s="62">
        <f t="shared" si="919"/>
        <v>0</v>
      </c>
      <c r="R593" s="69">
        <f t="shared" si="878"/>
        <v>0</v>
      </c>
      <c r="U593" s="68">
        <f t="shared" si="934"/>
        <v>0</v>
      </c>
      <c r="V593" s="62">
        <f t="shared" si="913"/>
        <v>0</v>
      </c>
      <c r="W593" s="69">
        <f t="shared" si="879"/>
        <v>0</v>
      </c>
      <c r="AA593" s="68">
        <f t="shared" si="915"/>
        <v>0</v>
      </c>
      <c r="AB593" s="69">
        <f t="shared" si="874"/>
        <v>0</v>
      </c>
      <c r="AD593" s="75">
        <f>AD591*G593/G591</f>
        <v>0</v>
      </c>
    </row>
    <row r="594" spans="1:34" outlineLevel="1" x14ac:dyDescent="0.25">
      <c r="A594" s="67"/>
      <c r="B594" s="66"/>
      <c r="C594" s="67" t="s">
        <v>303</v>
      </c>
      <c r="D594" s="68"/>
      <c r="E594" s="68">
        <v>23465.82</v>
      </c>
      <c r="F594" s="68">
        <f t="shared" si="905"/>
        <v>29862.28</v>
      </c>
      <c r="G594" s="69">
        <v>4</v>
      </c>
      <c r="H594" s="67" t="s">
        <v>39</v>
      </c>
      <c r="I594" s="68">
        <f t="shared" si="866"/>
        <v>7465.57</v>
      </c>
      <c r="J594" s="69"/>
      <c r="K594" s="68">
        <f t="shared" si="930"/>
        <v>0</v>
      </c>
      <c r="L594" s="62">
        <f t="shared" si="918"/>
        <v>29862.28</v>
      </c>
      <c r="M594" s="69">
        <f t="shared" si="877"/>
        <v>4</v>
      </c>
      <c r="N594" s="70">
        <f t="shared" ref="N594" si="938">100%-(L594/$F594)</f>
        <v>0</v>
      </c>
      <c r="O594" s="69"/>
      <c r="P594" s="68">
        <f t="shared" si="932"/>
        <v>0</v>
      </c>
      <c r="Q594" s="62">
        <f t="shared" si="919"/>
        <v>29862.28</v>
      </c>
      <c r="R594" s="69">
        <f t="shared" si="878"/>
        <v>4</v>
      </c>
      <c r="S594" s="70">
        <f t="shared" ref="S594" si="939">100%-(Q594/$F594)</f>
        <v>0</v>
      </c>
      <c r="T594" s="69"/>
      <c r="U594" s="68">
        <f t="shared" si="934"/>
        <v>0</v>
      </c>
      <c r="V594" s="62">
        <f t="shared" si="913"/>
        <v>29862.28</v>
      </c>
      <c r="W594" s="69">
        <f t="shared" si="879"/>
        <v>4</v>
      </c>
      <c r="X594" s="70">
        <f t="shared" ref="X594" si="940">100%-(V594/$F594)</f>
        <v>0</v>
      </c>
      <c r="Y594" s="69"/>
      <c r="Z594" s="68">
        <f>Y594*D594</f>
        <v>0</v>
      </c>
      <c r="AA594" s="68">
        <f t="shared" si="915"/>
        <v>29862.28</v>
      </c>
      <c r="AB594" s="69">
        <f t="shared" si="874"/>
        <v>4</v>
      </c>
      <c r="AC594" s="70">
        <f t="shared" ref="AC594" si="941">100%-(AA594/$F594)</f>
        <v>0</v>
      </c>
      <c r="AD594" s="69"/>
      <c r="AE594" s="68">
        <f>AD594*I594</f>
        <v>0</v>
      </c>
      <c r="AF594" s="68">
        <f>F594-AE594</f>
        <v>29862.28</v>
      </c>
      <c r="AG594" s="69">
        <f>G594-AD594</f>
        <v>4</v>
      </c>
      <c r="AH594" s="70">
        <f t="shared" ref="AH594" si="942">100%-(AF594/$F594)</f>
        <v>0</v>
      </c>
    </row>
    <row r="595" spans="1:34" outlineLevel="2" x14ac:dyDescent="0.25">
      <c r="B595" s="71">
        <v>2700</v>
      </c>
      <c r="C595" s="56" t="s">
        <v>277</v>
      </c>
      <c r="E595" s="73">
        <v>22435.72</v>
      </c>
      <c r="F595" s="74">
        <f t="shared" si="905"/>
        <v>28551.39</v>
      </c>
      <c r="G595" s="75">
        <v>1</v>
      </c>
      <c r="H595" s="56" t="s">
        <v>34</v>
      </c>
      <c r="I595" s="73">
        <f t="shared" si="866"/>
        <v>28551.39</v>
      </c>
      <c r="K595" s="68">
        <f t="shared" si="930"/>
        <v>0</v>
      </c>
      <c r="L595" s="62">
        <f t="shared" si="918"/>
        <v>0</v>
      </c>
      <c r="M595" s="69">
        <f t="shared" si="877"/>
        <v>0</v>
      </c>
      <c r="P595" s="68">
        <f t="shared" si="932"/>
        <v>0</v>
      </c>
      <c r="Q595" s="62">
        <f t="shared" si="919"/>
        <v>0</v>
      </c>
      <c r="R595" s="69">
        <f t="shared" si="878"/>
        <v>0</v>
      </c>
      <c r="U595" s="68">
        <f t="shared" si="934"/>
        <v>0</v>
      </c>
      <c r="V595" s="62">
        <f t="shared" si="913"/>
        <v>0</v>
      </c>
      <c r="W595" s="69">
        <f t="shared" si="879"/>
        <v>0</v>
      </c>
      <c r="AA595" s="68">
        <f t="shared" si="915"/>
        <v>0</v>
      </c>
      <c r="AB595" s="69">
        <f t="shared" si="874"/>
        <v>0</v>
      </c>
      <c r="AD595" s="75">
        <f>AD594*G595/G594</f>
        <v>0</v>
      </c>
    </row>
    <row r="596" spans="1:34" outlineLevel="2" x14ac:dyDescent="0.25">
      <c r="B596" s="71">
        <v>2705</v>
      </c>
      <c r="C596" s="56" t="s">
        <v>274</v>
      </c>
      <c r="E596" s="73">
        <v>1030.0999999999999</v>
      </c>
      <c r="F596" s="74">
        <f t="shared" si="905"/>
        <v>1310.89</v>
      </c>
      <c r="G596" s="75">
        <v>1</v>
      </c>
      <c r="H596" s="56" t="s">
        <v>34</v>
      </c>
      <c r="I596" s="73">
        <f t="shared" si="866"/>
        <v>1310.89</v>
      </c>
      <c r="K596" s="68">
        <f t="shared" si="930"/>
        <v>0</v>
      </c>
      <c r="L596" s="62">
        <f t="shared" si="918"/>
        <v>0</v>
      </c>
      <c r="M596" s="69">
        <f t="shared" si="877"/>
        <v>0</v>
      </c>
      <c r="P596" s="68">
        <f t="shared" si="932"/>
        <v>0</v>
      </c>
      <c r="Q596" s="62">
        <f t="shared" si="919"/>
        <v>0</v>
      </c>
      <c r="R596" s="69">
        <f t="shared" si="878"/>
        <v>0</v>
      </c>
      <c r="U596" s="68">
        <f t="shared" si="934"/>
        <v>0</v>
      </c>
      <c r="V596" s="62">
        <f t="shared" si="913"/>
        <v>0</v>
      </c>
      <c r="W596" s="69">
        <f t="shared" si="879"/>
        <v>0</v>
      </c>
      <c r="AA596" s="68">
        <f t="shared" si="915"/>
        <v>0</v>
      </c>
      <c r="AB596" s="69">
        <f t="shared" si="874"/>
        <v>0</v>
      </c>
      <c r="AD596" s="75">
        <f>AD594*G596/G594</f>
        <v>0</v>
      </c>
    </row>
    <row r="597" spans="1:34" outlineLevel="1" x14ac:dyDescent="0.25">
      <c r="A597" s="67"/>
      <c r="B597" s="66"/>
      <c r="C597" s="67" t="s">
        <v>304</v>
      </c>
      <c r="D597" s="68"/>
      <c r="E597" s="68">
        <v>11791.74</v>
      </c>
      <c r="F597" s="68">
        <f t="shared" si="905"/>
        <v>15006.01</v>
      </c>
      <c r="G597" s="69">
        <v>4</v>
      </c>
      <c r="H597" s="67" t="s">
        <v>39</v>
      </c>
      <c r="I597" s="68">
        <f t="shared" si="866"/>
        <v>3751.5025000000001</v>
      </c>
      <c r="J597" s="69"/>
      <c r="K597" s="68">
        <f t="shared" si="930"/>
        <v>0</v>
      </c>
      <c r="L597" s="62">
        <f t="shared" si="918"/>
        <v>15006.01</v>
      </c>
      <c r="M597" s="69">
        <f t="shared" si="877"/>
        <v>4</v>
      </c>
      <c r="N597" s="70">
        <f t="shared" ref="N597" si="943">100%-(L597/$F597)</f>
        <v>0</v>
      </c>
      <c r="O597" s="69"/>
      <c r="P597" s="68">
        <f t="shared" si="932"/>
        <v>0</v>
      </c>
      <c r="Q597" s="62">
        <f t="shared" si="919"/>
        <v>15006.01</v>
      </c>
      <c r="R597" s="69">
        <f t="shared" si="878"/>
        <v>4</v>
      </c>
      <c r="S597" s="70">
        <f t="shared" ref="S597" si="944">100%-(Q597/$F597)</f>
        <v>0</v>
      </c>
      <c r="T597" s="69"/>
      <c r="U597" s="68">
        <f t="shared" si="934"/>
        <v>0</v>
      </c>
      <c r="V597" s="62">
        <f t="shared" si="913"/>
        <v>15006.01</v>
      </c>
      <c r="W597" s="69">
        <f t="shared" si="879"/>
        <v>4</v>
      </c>
      <c r="X597" s="70">
        <f t="shared" ref="X597" si="945">100%-(V597/$F597)</f>
        <v>0</v>
      </c>
      <c r="Y597" s="69"/>
      <c r="Z597" s="68">
        <f>Y597*D597</f>
        <v>0</v>
      </c>
      <c r="AA597" s="68">
        <f t="shared" si="915"/>
        <v>15006.01</v>
      </c>
      <c r="AB597" s="69">
        <f t="shared" si="874"/>
        <v>4</v>
      </c>
      <c r="AC597" s="70">
        <f t="shared" ref="AC597" si="946">100%-(AA597/$F597)</f>
        <v>0</v>
      </c>
      <c r="AD597" s="69"/>
      <c r="AE597" s="68">
        <f>AD597*I597</f>
        <v>0</v>
      </c>
      <c r="AF597" s="68">
        <f>F597-AE597</f>
        <v>15006.01</v>
      </c>
      <c r="AG597" s="69">
        <f>G597-AD597</f>
        <v>4</v>
      </c>
      <c r="AH597" s="70">
        <f t="shared" ref="AH597" si="947">100%-(AF597/$F597)</f>
        <v>0</v>
      </c>
    </row>
    <row r="598" spans="1:34" outlineLevel="2" x14ac:dyDescent="0.25">
      <c r="B598" s="71">
        <v>2700</v>
      </c>
      <c r="C598" s="56" t="s">
        <v>277</v>
      </c>
      <c r="E598" s="73">
        <v>11276.69</v>
      </c>
      <c r="F598" s="74">
        <f>$D$508/$E$508*E598</f>
        <v>14350.562855578883</v>
      </c>
      <c r="G598" s="75">
        <v>1</v>
      </c>
      <c r="H598" s="56" t="s">
        <v>34</v>
      </c>
      <c r="I598" s="73">
        <f t="shared" si="866"/>
        <v>14350.562855578883</v>
      </c>
      <c r="L598" s="62">
        <f t="shared" si="918"/>
        <v>0</v>
      </c>
      <c r="M598" s="69">
        <f t="shared" si="877"/>
        <v>0</v>
      </c>
      <c r="Q598" s="62">
        <f t="shared" si="919"/>
        <v>0</v>
      </c>
      <c r="R598" s="69">
        <f t="shared" si="878"/>
        <v>0</v>
      </c>
      <c r="V598" s="62">
        <f t="shared" si="913"/>
        <v>0</v>
      </c>
      <c r="W598" s="69">
        <f t="shared" si="879"/>
        <v>0</v>
      </c>
      <c r="AA598" s="68">
        <f t="shared" si="915"/>
        <v>0</v>
      </c>
      <c r="AB598" s="69">
        <f t="shared" si="874"/>
        <v>0</v>
      </c>
      <c r="AD598" s="75">
        <f>AD597*G598/G597</f>
        <v>0</v>
      </c>
    </row>
    <row r="599" spans="1:34" outlineLevel="2" x14ac:dyDescent="0.25">
      <c r="B599" s="71">
        <v>2705</v>
      </c>
      <c r="C599" s="56" t="s">
        <v>274</v>
      </c>
      <c r="E599" s="73">
        <v>515.04999999999995</v>
      </c>
      <c r="F599" s="74">
        <f>$D$508/$E$508*E599</f>
        <v>655.44564927881345</v>
      </c>
      <c r="G599" s="75">
        <v>1</v>
      </c>
      <c r="H599" s="56" t="s">
        <v>34</v>
      </c>
      <c r="I599" s="73">
        <f t="shared" si="866"/>
        <v>655.44564927881345</v>
      </c>
      <c r="L599" s="62">
        <f t="shared" si="918"/>
        <v>0</v>
      </c>
      <c r="M599" s="69">
        <f t="shared" si="877"/>
        <v>0</v>
      </c>
      <c r="Q599" s="62">
        <f t="shared" si="919"/>
        <v>0</v>
      </c>
      <c r="R599" s="69">
        <f t="shared" si="878"/>
        <v>0</v>
      </c>
      <c r="V599" s="62">
        <f t="shared" si="913"/>
        <v>0</v>
      </c>
      <c r="W599" s="69">
        <f t="shared" si="879"/>
        <v>0</v>
      </c>
      <c r="AA599" s="68">
        <f t="shared" si="915"/>
        <v>0</v>
      </c>
      <c r="AB599" s="69">
        <f t="shared" si="874"/>
        <v>0</v>
      </c>
      <c r="AD599" s="75">
        <f>AD597*G599/G597</f>
        <v>0</v>
      </c>
    </row>
    <row r="600" spans="1:34" x14ac:dyDescent="0.25">
      <c r="A600" s="60">
        <v>13</v>
      </c>
      <c r="B600" s="60"/>
      <c r="C600" s="61" t="s">
        <v>305</v>
      </c>
      <c r="D600" s="62">
        <f>_xlfn.XLOOKUP(A600,SOV!$A$9:$A$27,SOV!$C$9:$C$27)</f>
        <v>2424100</v>
      </c>
      <c r="E600" s="62">
        <v>1467853.7</v>
      </c>
      <c r="F600" s="62">
        <f>+F601+F607+F611+F613+F615+F617+F619+F625</f>
        <v>2424100.0199999996</v>
      </c>
      <c r="G600" s="63"/>
      <c r="H600" s="64"/>
      <c r="I600" s="62"/>
      <c r="J600" s="63"/>
      <c r="K600" s="62">
        <f>SUM(K601,K607,K611,K613,K615,K617,K619,K625,K606)</f>
        <v>0</v>
      </c>
      <c r="L600" s="62">
        <f>+L601+L607+L611+L613+L615+L617+L619+L625</f>
        <v>1478973.3574354788</v>
      </c>
      <c r="M600" s="69">
        <f t="shared" si="877"/>
        <v>0</v>
      </c>
      <c r="N600" s="70">
        <f t="shared" ref="N600:N601" si="948">100%-(L600/$F600)</f>
        <v>0.38988765099078748</v>
      </c>
      <c r="O600" s="63"/>
      <c r="P600" s="62">
        <f>SUM(P601,P607,P611,P613,P615,P617,P619,P625,P606)</f>
        <v>50000</v>
      </c>
      <c r="Q600" s="62">
        <f>+Q601+Q607+Q611+Q613+Q615+Q617+Q619+Q625</f>
        <v>1478973.3574354788</v>
      </c>
      <c r="R600" s="69">
        <f t="shared" si="878"/>
        <v>0</v>
      </c>
      <c r="S600" s="70">
        <f t="shared" ref="S600:S601" si="949">100%-(Q600/$F600)</f>
        <v>0.38988765099078748</v>
      </c>
      <c r="T600" s="63"/>
      <c r="U600" s="62">
        <f>SUM(U601,U607,U611,U613,U615,U617,U619,U625,U606)</f>
        <v>332329.46844696265</v>
      </c>
      <c r="V600" s="62">
        <f>+V601+V607+V611+V613+V615+V617+V619+V625</f>
        <v>1478973.3574354788</v>
      </c>
      <c r="W600" s="69">
        <f t="shared" si="879"/>
        <v>0</v>
      </c>
      <c r="X600" s="70">
        <f t="shared" ref="X600:X601" si="950">100%-(V600/$F600)</f>
        <v>0.38988765099078748</v>
      </c>
      <c r="Y600" s="63"/>
      <c r="Z600" s="62">
        <f>SUM(Z601,Z607,Z611,Z613,Z615,Z617,Z619,Z625,Z606)</f>
        <v>506215.8684643358</v>
      </c>
      <c r="AA600" s="68">
        <f t="shared" si="915"/>
        <v>1714302.8258824404</v>
      </c>
      <c r="AB600" s="69">
        <f t="shared" si="874"/>
        <v>0</v>
      </c>
      <c r="AC600" s="65"/>
      <c r="AD600" s="63"/>
      <c r="AE600" s="62">
        <f>SUM(AE601,AE607,AE611,AE613,AE615,AE617,AE619,AE625)</f>
        <v>203581.32565322315</v>
      </c>
      <c r="AF600" s="62">
        <f>SUM(AF601,AF607,AF611,AF613,AF615,AF617,AF619,AF625)</f>
        <v>2220518.6943467762</v>
      </c>
      <c r="AG600" s="63"/>
      <c r="AH600" s="65"/>
    </row>
    <row r="601" spans="1:34" outlineLevel="1" x14ac:dyDescent="0.25">
      <c r="A601" s="67"/>
      <c r="B601" s="66"/>
      <c r="C601" s="67" t="s">
        <v>307</v>
      </c>
      <c r="D601" s="68"/>
      <c r="E601" s="68">
        <v>485168.44</v>
      </c>
      <c r="F601" s="68">
        <f>ROUND($D$600/$E$600*E601,2)</f>
        <v>801235.72</v>
      </c>
      <c r="G601" s="69">
        <v>347206</v>
      </c>
      <c r="H601" s="67" t="s">
        <v>41</v>
      </c>
      <c r="I601" s="68">
        <f t="shared" si="866"/>
        <v>2.3076666877876533</v>
      </c>
      <c r="J601" s="69"/>
      <c r="K601" s="68">
        <f t="shared" ref="K601:K605" si="951">+J601*$I601</f>
        <v>0</v>
      </c>
      <c r="L601" s="62">
        <f t="shared" ref="L601:L654" si="952">+Q601-K601</f>
        <v>523463.219712739</v>
      </c>
      <c r="M601" s="69">
        <f t="shared" si="877"/>
        <v>226836.5802058616</v>
      </c>
      <c r="N601" s="70">
        <f t="shared" si="948"/>
        <v>0.34668012590260078</v>
      </c>
      <c r="O601" s="69"/>
      <c r="P601" s="68">
        <f t="shared" ref="P601:P605" si="953">+O601*$I601</f>
        <v>0</v>
      </c>
      <c r="Q601" s="62">
        <f t="shared" ref="Q601:Q654" si="954">+V601-P601</f>
        <v>523463.219712739</v>
      </c>
      <c r="R601" s="69">
        <f t="shared" si="878"/>
        <v>226836.5802058616</v>
      </c>
      <c r="S601" s="70">
        <f t="shared" si="949"/>
        <v>0.34668012590260078</v>
      </c>
      <c r="T601" s="69">
        <v>1000</v>
      </c>
      <c r="U601" s="68">
        <f t="shared" ref="U601:U605" si="955">+T601*$I601</f>
        <v>2307.6666877876532</v>
      </c>
      <c r="V601" s="62">
        <f t="shared" si="913"/>
        <v>523463.219712739</v>
      </c>
      <c r="W601" s="69">
        <f t="shared" si="879"/>
        <v>226836.5802058616</v>
      </c>
      <c r="X601" s="70">
        <f t="shared" si="950"/>
        <v>0.34668012590260078</v>
      </c>
      <c r="Y601" s="69">
        <f>+Z601/$I601</f>
        <v>31149.865934566358</v>
      </c>
      <c r="Z601" s="68">
        <f>+Z602+Z603+Z604+Z605</f>
        <v>71883.507946250204</v>
      </c>
      <c r="AA601" s="68">
        <f t="shared" si="915"/>
        <v>525770.88640052662</v>
      </c>
      <c r="AB601" s="69">
        <f t="shared" si="874"/>
        <v>227836.5802058616</v>
      </c>
      <c r="AC601" s="70">
        <f t="shared" ref="AC601" si="956">100%-(AA601/$F601)</f>
        <v>0.34379999134271422</v>
      </c>
      <c r="AD601" s="69">
        <f>+AE601/$I601</f>
        <v>88219.553859572057</v>
      </c>
      <c r="AE601" s="68">
        <f>+AE602+AE603+AE604+AE605</f>
        <v>203581.32565322315</v>
      </c>
      <c r="AF601" s="68">
        <f>F601-AE601</f>
        <v>597654.39434677688</v>
      </c>
      <c r="AG601" s="69">
        <f>G601-AD601</f>
        <v>258986.44614042796</v>
      </c>
      <c r="AH601" s="70">
        <f t="shared" ref="AH601" si="957">100%-(AF601/$F601)</f>
        <v>0.25408418592873405</v>
      </c>
    </row>
    <row r="602" spans="1:34" outlineLevel="2" x14ac:dyDescent="0.25">
      <c r="B602" s="71">
        <v>2732</v>
      </c>
      <c r="C602" s="56" t="s">
        <v>309</v>
      </c>
      <c r="E602" s="73">
        <v>144134.57999999999</v>
      </c>
      <c r="F602" s="74">
        <f>$D$600/$E$600*E602</f>
        <v>238032.3293649769</v>
      </c>
      <c r="G602" s="75">
        <v>347206</v>
      </c>
      <c r="H602" s="56" t="s">
        <v>41</v>
      </c>
      <c r="I602" s="73">
        <f t="shared" si="866"/>
        <v>0.68556513817438902</v>
      </c>
      <c r="J602" s="75">
        <v>20000</v>
      </c>
      <c r="K602" s="68">
        <f t="shared" si="951"/>
        <v>13711.30276348778</v>
      </c>
      <c r="L602" s="62">
        <f t="shared" si="952"/>
        <v>-14187.193285901105</v>
      </c>
      <c r="M602" s="69">
        <f t="shared" si="877"/>
        <v>238292.28814447066</v>
      </c>
      <c r="P602" s="68">
        <f t="shared" si="953"/>
        <v>0</v>
      </c>
      <c r="Q602" s="62">
        <f t="shared" si="954"/>
        <v>-475.89052241332445</v>
      </c>
      <c r="R602" s="69">
        <f t="shared" si="878"/>
        <v>258292.28814447066</v>
      </c>
      <c r="U602" s="68">
        <f t="shared" si="955"/>
        <v>0</v>
      </c>
      <c r="V602" s="62">
        <f t="shared" si="913"/>
        <v>-475.89052241332445</v>
      </c>
      <c r="W602" s="69">
        <f t="shared" si="879"/>
        <v>258292.28814447066</v>
      </c>
      <c r="Y602" s="75">
        <f>$AD$601*B602/$G$601</f>
        <v>694.15799595730164</v>
      </c>
      <c r="Z602" s="68">
        <f>+Y602*I602</f>
        <v>475.89052241332445</v>
      </c>
      <c r="AA602" s="68">
        <f t="shared" si="915"/>
        <v>-475.89052241332445</v>
      </c>
      <c r="AB602" s="69">
        <f t="shared" si="874"/>
        <v>258292.28814447066</v>
      </c>
      <c r="AD602" s="75">
        <f>$AD$601*G602/$G$601</f>
        <v>88219.553859572057</v>
      </c>
      <c r="AG602" s="69">
        <f t="shared" ref="AG602:AG605" si="958">G602-AD602</f>
        <v>258986.44614042796</v>
      </c>
    </row>
    <row r="603" spans="1:34" outlineLevel="2" x14ac:dyDescent="0.25">
      <c r="B603" s="71">
        <v>2734</v>
      </c>
      <c r="C603" s="56" t="s">
        <v>310</v>
      </c>
      <c r="E603" s="73">
        <v>137870.87</v>
      </c>
      <c r="F603" s="74">
        <f>$D$600/$E$600*E603</f>
        <v>227688.06998067995</v>
      </c>
      <c r="G603" s="75">
        <v>347206</v>
      </c>
      <c r="H603" s="56" t="s">
        <v>41</v>
      </c>
      <c r="I603" s="73">
        <f t="shared" si="866"/>
        <v>0.65577227922524362</v>
      </c>
      <c r="J603" s="75">
        <v>0</v>
      </c>
      <c r="K603" s="68">
        <f t="shared" si="951"/>
        <v>0</v>
      </c>
      <c r="L603" s="62">
        <f t="shared" si="952"/>
        <v>0</v>
      </c>
      <c r="M603" s="69">
        <f t="shared" si="877"/>
        <v>179206</v>
      </c>
      <c r="O603" s="75">
        <v>0</v>
      </c>
      <c r="P603" s="68">
        <f t="shared" si="953"/>
        <v>0</v>
      </c>
      <c r="Q603" s="62">
        <f t="shared" si="954"/>
        <v>0</v>
      </c>
      <c r="R603" s="69">
        <f t="shared" si="878"/>
        <v>179206</v>
      </c>
      <c r="T603" s="75">
        <v>0</v>
      </c>
      <c r="U603" s="68">
        <f t="shared" si="955"/>
        <v>0</v>
      </c>
      <c r="V603" s="62">
        <f t="shared" si="913"/>
        <v>0</v>
      </c>
      <c r="W603" s="69">
        <f t="shared" si="879"/>
        <v>179206</v>
      </c>
      <c r="Z603" s="68">
        <f>+Y603*I603</f>
        <v>0</v>
      </c>
      <c r="AA603" s="68">
        <f t="shared" si="915"/>
        <v>0</v>
      </c>
      <c r="AB603" s="69">
        <f t="shared" si="874"/>
        <v>179206</v>
      </c>
      <c r="AD603" s="75">
        <v>168000</v>
      </c>
      <c r="AE603" s="73">
        <f>+AD603*I603</f>
        <v>110169.74290984093</v>
      </c>
      <c r="AG603" s="69">
        <f t="shared" si="958"/>
        <v>179206</v>
      </c>
    </row>
    <row r="604" spans="1:34" outlineLevel="2" x14ac:dyDescent="0.25">
      <c r="B604" s="71">
        <v>2149</v>
      </c>
      <c r="C604" s="56" t="s">
        <v>48</v>
      </c>
      <c r="E604" s="73">
        <v>176039.98</v>
      </c>
      <c r="F604" s="74">
        <f>$D$600/$E$600*E604</f>
        <v>290722.78491923277</v>
      </c>
      <c r="G604" s="75">
        <v>12213.94</v>
      </c>
      <c r="H604" s="56" t="s">
        <v>43</v>
      </c>
      <c r="I604" s="73">
        <f t="shared" ref="I604:I654" si="959">F604/G604</f>
        <v>23.802539141278963</v>
      </c>
      <c r="K604" s="68">
        <f t="shared" si="951"/>
        <v>0</v>
      </c>
      <c r="L604" s="62">
        <f t="shared" si="952"/>
        <v>-71407.617423836884</v>
      </c>
      <c r="M604" s="69">
        <f t="shared" si="877"/>
        <v>6213.9400000000005</v>
      </c>
      <c r="P604" s="68">
        <f t="shared" si="953"/>
        <v>0</v>
      </c>
      <c r="Q604" s="62">
        <f t="shared" si="954"/>
        <v>-71407.617423836884</v>
      </c>
      <c r="R604" s="69">
        <f t="shared" si="878"/>
        <v>6213.9400000000005</v>
      </c>
      <c r="U604" s="68">
        <f t="shared" si="955"/>
        <v>0</v>
      </c>
      <c r="V604" s="62">
        <f t="shared" si="913"/>
        <v>-71407.617423836884</v>
      </c>
      <c r="W604" s="69">
        <f t="shared" si="879"/>
        <v>6213.9400000000005</v>
      </c>
      <c r="Y604" s="75">
        <v>3000</v>
      </c>
      <c r="Z604" s="68">
        <f>+Y604*I604</f>
        <v>71407.617423836884</v>
      </c>
      <c r="AA604" s="68">
        <f t="shared" si="915"/>
        <v>-71407.617423836884</v>
      </c>
      <c r="AB604" s="69">
        <f t="shared" si="874"/>
        <v>6213.9400000000005</v>
      </c>
      <c r="AD604" s="75">
        <v>3000</v>
      </c>
      <c r="AE604" s="73">
        <f>+AD604*I604</f>
        <v>71407.617423836884</v>
      </c>
      <c r="AG604" s="69">
        <f t="shared" si="958"/>
        <v>9213.94</v>
      </c>
    </row>
    <row r="605" spans="1:34" outlineLevel="2" x14ac:dyDescent="0.25">
      <c r="B605" s="71">
        <v>2220</v>
      </c>
      <c r="C605" s="56" t="s">
        <v>312</v>
      </c>
      <c r="E605" s="73">
        <v>27123</v>
      </c>
      <c r="F605" s="74">
        <f>$D$600/$E$600*E605</f>
        <v>44792.518695834609</v>
      </c>
      <c r="G605" s="75">
        <v>12213.94</v>
      </c>
      <c r="H605" s="56" t="s">
        <v>43</v>
      </c>
      <c r="I605" s="73">
        <f t="shared" si="959"/>
        <v>3.6673275532575573</v>
      </c>
      <c r="K605" s="68">
        <f t="shared" si="951"/>
        <v>0</v>
      </c>
      <c r="L605" s="62">
        <f t="shared" si="952"/>
        <v>0</v>
      </c>
      <c r="M605" s="69">
        <f t="shared" si="877"/>
        <v>6213.9400000000005</v>
      </c>
      <c r="P605" s="68">
        <f t="shared" si="953"/>
        <v>0</v>
      </c>
      <c r="Q605" s="62">
        <f t="shared" si="954"/>
        <v>0</v>
      </c>
      <c r="R605" s="69">
        <f t="shared" si="878"/>
        <v>6213.9400000000005</v>
      </c>
      <c r="U605" s="68">
        <f t="shared" si="955"/>
        <v>0</v>
      </c>
      <c r="V605" s="62">
        <f t="shared" si="913"/>
        <v>0</v>
      </c>
      <c r="W605" s="69">
        <f t="shared" si="879"/>
        <v>6213.9400000000005</v>
      </c>
      <c r="Z605" s="68">
        <f>+Y605*I605</f>
        <v>0</v>
      </c>
      <c r="AA605" s="68">
        <f t="shared" si="915"/>
        <v>0</v>
      </c>
      <c r="AB605" s="69">
        <f t="shared" si="874"/>
        <v>6213.9400000000005</v>
      </c>
      <c r="AD605" s="75">
        <v>6000</v>
      </c>
      <c r="AE605" s="73">
        <f>+AD605*I605</f>
        <v>22003.965319545343</v>
      </c>
      <c r="AG605" s="69">
        <f t="shared" si="958"/>
        <v>6213.9400000000005</v>
      </c>
    </row>
    <row r="606" spans="1:34" outlineLevel="2" x14ac:dyDescent="0.25">
      <c r="C606" s="88" t="s">
        <v>347</v>
      </c>
      <c r="K606" s="68"/>
      <c r="L606" s="62">
        <f t="shared" si="952"/>
        <v>-147000</v>
      </c>
      <c r="M606" s="69">
        <f t="shared" si="877"/>
        <v>0</v>
      </c>
      <c r="P606" s="68">
        <v>50000</v>
      </c>
      <c r="Q606" s="62">
        <f t="shared" si="954"/>
        <v>-147000</v>
      </c>
      <c r="R606" s="69">
        <f t="shared" si="878"/>
        <v>0</v>
      </c>
      <c r="U606" s="68">
        <v>54000</v>
      </c>
      <c r="V606" s="62">
        <f t="shared" si="913"/>
        <v>-97000</v>
      </c>
      <c r="W606" s="69">
        <f t="shared" si="879"/>
        <v>0</v>
      </c>
      <c r="Z606" s="68">
        <v>43000</v>
      </c>
      <c r="AA606" s="68">
        <f t="shared" si="915"/>
        <v>-43000</v>
      </c>
      <c r="AB606" s="69">
        <f t="shared" si="874"/>
        <v>0</v>
      </c>
    </row>
    <row r="607" spans="1:34" outlineLevel="1" x14ac:dyDescent="0.25">
      <c r="A607" s="67"/>
      <c r="B607" s="66"/>
      <c r="C607" s="67" t="s">
        <v>313</v>
      </c>
      <c r="D607" s="68"/>
      <c r="E607" s="68">
        <v>367577.76</v>
      </c>
      <c r="F607" s="68">
        <f t="shared" ref="F607:F626" si="960">ROUND($D$600/$E$600*E607,2)</f>
        <v>607039.55000000005</v>
      </c>
      <c r="G607" s="69">
        <v>347206</v>
      </c>
      <c r="H607" s="67" t="s">
        <v>41</v>
      </c>
      <c r="I607" s="68">
        <f t="shared" si="959"/>
        <v>1.748355587173033</v>
      </c>
      <c r="J607" s="69"/>
      <c r="K607" s="68">
        <f t="shared" ref="K607:K625" si="961">+J607*$I607</f>
        <v>0</v>
      </c>
      <c r="L607" s="62">
        <f t="shared" si="952"/>
        <v>344786.21192404511</v>
      </c>
      <c r="M607" s="69">
        <f t="shared" si="877"/>
        <v>197206</v>
      </c>
      <c r="N607" s="70">
        <f t="shared" ref="N607" si="962">100%-(L607/$F607)</f>
        <v>0.43202018398299569</v>
      </c>
      <c r="O607" s="69"/>
      <c r="P607" s="68">
        <f t="shared" ref="P607:P625" si="963">+O607*$I607</f>
        <v>0</v>
      </c>
      <c r="Q607" s="62">
        <f t="shared" si="954"/>
        <v>344786.21192404511</v>
      </c>
      <c r="R607" s="69">
        <f t="shared" si="878"/>
        <v>197206</v>
      </c>
      <c r="S607" s="70">
        <f t="shared" ref="S607" si="964">100%-(Q607/$F607)</f>
        <v>0.43202018398299569</v>
      </c>
      <c r="T607" s="69">
        <v>20000</v>
      </c>
      <c r="U607" s="68">
        <f t="shared" ref="U607:U625" si="965">+T607*$I607</f>
        <v>34967.111743460657</v>
      </c>
      <c r="V607" s="62">
        <f t="shared" si="913"/>
        <v>344786.21192404511</v>
      </c>
      <c r="W607" s="69">
        <f t="shared" si="879"/>
        <v>197206</v>
      </c>
      <c r="X607" s="70">
        <f t="shared" ref="X607" si="966">100%-(V607/$F607)</f>
        <v>0.43202018398299569</v>
      </c>
      <c r="Y607" s="69">
        <v>130000</v>
      </c>
      <c r="Z607" s="68">
        <f t="shared" ref="Z607:Z613" si="967">+Y607*I607</f>
        <v>227286.22633249429</v>
      </c>
      <c r="AA607" s="68">
        <f t="shared" si="915"/>
        <v>379753.32366750576</v>
      </c>
      <c r="AB607" s="69">
        <f t="shared" si="874"/>
        <v>217206</v>
      </c>
      <c r="AC607" s="70">
        <f t="shared" ref="AC607" si="968">100%-(AA607/$F607)</f>
        <v>0.37441749278526293</v>
      </c>
      <c r="AD607" s="69"/>
      <c r="AE607" s="68">
        <f>AD607*I607</f>
        <v>0</v>
      </c>
      <c r="AF607" s="68">
        <f>F607-AE607</f>
        <v>607039.55000000005</v>
      </c>
      <c r="AG607" s="69">
        <f>G607-AD607</f>
        <v>347206</v>
      </c>
      <c r="AH607" s="70">
        <f t="shared" ref="AH607" si="969">100%-(AF607/$F607)</f>
        <v>0</v>
      </c>
    </row>
    <row r="608" spans="1:34" outlineLevel="2" x14ac:dyDescent="0.25">
      <c r="B608" s="71">
        <v>2165</v>
      </c>
      <c r="C608" s="56" t="s">
        <v>314</v>
      </c>
      <c r="E608" s="73">
        <v>50805.42</v>
      </c>
      <c r="F608" s="74">
        <f t="shared" si="960"/>
        <v>83903.06</v>
      </c>
      <c r="G608" s="75">
        <v>347206</v>
      </c>
      <c r="H608" s="56" t="s">
        <v>41</v>
      </c>
      <c r="I608" s="73">
        <f t="shared" si="959"/>
        <v>0.24165210278624216</v>
      </c>
      <c r="K608" s="68">
        <f t="shared" si="961"/>
        <v>0</v>
      </c>
      <c r="L608" s="62">
        <f t="shared" si="952"/>
        <v>0</v>
      </c>
      <c r="M608" s="69">
        <f t="shared" si="877"/>
        <v>0</v>
      </c>
      <c r="P608" s="68">
        <f t="shared" si="963"/>
        <v>0</v>
      </c>
      <c r="Q608" s="62">
        <f t="shared" si="954"/>
        <v>0</v>
      </c>
      <c r="R608" s="69">
        <f t="shared" si="878"/>
        <v>0</v>
      </c>
      <c r="U608" s="68">
        <f t="shared" si="965"/>
        <v>0</v>
      </c>
      <c r="V608" s="62">
        <f t="shared" si="913"/>
        <v>0</v>
      </c>
      <c r="W608" s="69">
        <f t="shared" si="879"/>
        <v>0</v>
      </c>
      <c r="Y608" s="75">
        <f>$AD$607*B608/$G$607</f>
        <v>0</v>
      </c>
      <c r="Z608" s="68">
        <f t="shared" si="967"/>
        <v>0</v>
      </c>
      <c r="AA608" s="68">
        <f t="shared" si="915"/>
        <v>0</v>
      </c>
      <c r="AB608" s="69">
        <f t="shared" si="874"/>
        <v>0</v>
      </c>
      <c r="AD608" s="75">
        <f>$AD$607*G608/$G$607</f>
        <v>0</v>
      </c>
    </row>
    <row r="609" spans="1:34" outlineLevel="2" x14ac:dyDescent="0.25">
      <c r="B609" s="71">
        <v>2183</v>
      </c>
      <c r="C609" s="56" t="s">
        <v>80</v>
      </c>
      <c r="E609" s="73">
        <v>179595.78</v>
      </c>
      <c r="F609" s="74">
        <f t="shared" si="960"/>
        <v>296595.03999999998</v>
      </c>
      <c r="G609" s="75">
        <v>16179.8</v>
      </c>
      <c r="H609" s="56" t="s">
        <v>43</v>
      </c>
      <c r="I609" s="73">
        <f t="shared" si="959"/>
        <v>18.331193216232585</v>
      </c>
      <c r="K609" s="68">
        <f t="shared" si="961"/>
        <v>0</v>
      </c>
      <c r="L609" s="62">
        <f t="shared" si="952"/>
        <v>0</v>
      </c>
      <c r="M609" s="69">
        <f t="shared" si="877"/>
        <v>0</v>
      </c>
      <c r="P609" s="68">
        <f t="shared" si="963"/>
        <v>0</v>
      </c>
      <c r="Q609" s="62">
        <f t="shared" si="954"/>
        <v>0</v>
      </c>
      <c r="R609" s="69">
        <f t="shared" si="878"/>
        <v>0</v>
      </c>
      <c r="U609" s="68">
        <f t="shared" si="965"/>
        <v>0</v>
      </c>
      <c r="V609" s="62">
        <f t="shared" si="913"/>
        <v>0</v>
      </c>
      <c r="W609" s="69">
        <f t="shared" si="879"/>
        <v>0</v>
      </c>
      <c r="Y609" s="75">
        <f>$AD$607*B609/$G$607</f>
        <v>0</v>
      </c>
      <c r="Z609" s="68">
        <f t="shared" si="967"/>
        <v>0</v>
      </c>
      <c r="AA609" s="68">
        <f t="shared" si="915"/>
        <v>0</v>
      </c>
      <c r="AB609" s="69">
        <f t="shared" si="874"/>
        <v>0</v>
      </c>
      <c r="AD609" s="75">
        <f>$AD$607*G609/$G$607</f>
        <v>0</v>
      </c>
    </row>
    <row r="610" spans="1:34" outlineLevel="2" x14ac:dyDescent="0.25">
      <c r="B610" s="71">
        <v>2149</v>
      </c>
      <c r="C610" s="56" t="s">
        <v>48</v>
      </c>
      <c r="E610" s="73">
        <v>137176.56</v>
      </c>
      <c r="F610" s="74">
        <f t="shared" si="960"/>
        <v>226541.45</v>
      </c>
      <c r="G610" s="75">
        <v>16179.8</v>
      </c>
      <c r="H610" s="56" t="s">
        <v>43</v>
      </c>
      <c r="I610" s="73">
        <f t="shared" si="959"/>
        <v>14.001498782432417</v>
      </c>
      <c r="K610" s="68">
        <f t="shared" si="961"/>
        <v>0</v>
      </c>
      <c r="L610" s="62">
        <f t="shared" si="952"/>
        <v>0</v>
      </c>
      <c r="M610" s="69">
        <f t="shared" si="877"/>
        <v>0</v>
      </c>
      <c r="P610" s="68">
        <f t="shared" si="963"/>
        <v>0</v>
      </c>
      <c r="Q610" s="62">
        <f t="shared" si="954"/>
        <v>0</v>
      </c>
      <c r="R610" s="69">
        <f t="shared" si="878"/>
        <v>0</v>
      </c>
      <c r="U610" s="68">
        <f t="shared" si="965"/>
        <v>0</v>
      </c>
      <c r="V610" s="62">
        <f t="shared" si="913"/>
        <v>0</v>
      </c>
      <c r="W610" s="69">
        <f t="shared" si="879"/>
        <v>0</v>
      </c>
      <c r="Y610" s="75">
        <f>$AD$607*B610/$G$607</f>
        <v>0</v>
      </c>
      <c r="Z610" s="68">
        <f t="shared" si="967"/>
        <v>0</v>
      </c>
      <c r="AA610" s="68">
        <f t="shared" si="915"/>
        <v>0</v>
      </c>
      <c r="AB610" s="69">
        <f t="shared" si="874"/>
        <v>0</v>
      </c>
      <c r="AD610" s="75">
        <f>$AD$607*G610/$G$607</f>
        <v>0</v>
      </c>
    </row>
    <row r="611" spans="1:34" outlineLevel="1" x14ac:dyDescent="0.25">
      <c r="A611" s="67"/>
      <c r="B611" s="66"/>
      <c r="C611" s="67" t="s">
        <v>315</v>
      </c>
      <c r="D611" s="68"/>
      <c r="E611" s="68">
        <v>183832.69</v>
      </c>
      <c r="F611" s="68">
        <f t="shared" si="960"/>
        <v>303592.12</v>
      </c>
      <c r="G611" s="69">
        <v>347206</v>
      </c>
      <c r="H611" s="67" t="s">
        <v>41</v>
      </c>
      <c r="I611" s="68">
        <f t="shared" si="959"/>
        <v>0.87438615692125132</v>
      </c>
      <c r="J611" s="69"/>
      <c r="K611" s="68">
        <f t="shared" si="961"/>
        <v>0</v>
      </c>
      <c r="L611" s="62">
        <f t="shared" si="952"/>
        <v>303592.12</v>
      </c>
      <c r="M611" s="69">
        <f t="shared" si="877"/>
        <v>347206</v>
      </c>
      <c r="N611" s="70">
        <f t="shared" ref="N611" si="970">100%-(L611/$F611)</f>
        <v>0</v>
      </c>
      <c r="O611" s="69"/>
      <c r="P611" s="68">
        <f t="shared" si="963"/>
        <v>0</v>
      </c>
      <c r="Q611" s="62">
        <f t="shared" si="954"/>
        <v>303592.12</v>
      </c>
      <c r="R611" s="69">
        <f t="shared" si="878"/>
        <v>347206</v>
      </c>
      <c r="S611" s="70">
        <f t="shared" ref="S611" si="971">100%-(Q611/$F611)</f>
        <v>0</v>
      </c>
      <c r="T611" s="69"/>
      <c r="U611" s="68">
        <f t="shared" si="965"/>
        <v>0</v>
      </c>
      <c r="V611" s="62">
        <f t="shared" si="913"/>
        <v>303592.12</v>
      </c>
      <c r="W611" s="69">
        <f t="shared" si="879"/>
        <v>347206</v>
      </c>
      <c r="X611" s="70">
        <f t="shared" ref="X611" si="972">100%-(V611/$F611)</f>
        <v>0</v>
      </c>
      <c r="Y611" s="69"/>
      <c r="Z611" s="68">
        <f t="shared" si="967"/>
        <v>0</v>
      </c>
      <c r="AA611" s="68">
        <f t="shared" si="915"/>
        <v>303592.12</v>
      </c>
      <c r="AB611" s="69">
        <f t="shared" si="874"/>
        <v>347206</v>
      </c>
      <c r="AC611" s="70">
        <f t="shared" ref="AC611" si="973">100%-(AA611/$F611)</f>
        <v>0</v>
      </c>
      <c r="AD611" s="69"/>
      <c r="AE611" s="68">
        <f>AD611*I611</f>
        <v>0</v>
      </c>
      <c r="AF611" s="68">
        <f>F611-AE611</f>
        <v>303592.12</v>
      </c>
      <c r="AG611" s="69">
        <f>G611-AD611</f>
        <v>347206</v>
      </c>
      <c r="AH611" s="70">
        <f t="shared" ref="AH611" si="974">100%-(AF611/$F611)</f>
        <v>0</v>
      </c>
    </row>
    <row r="612" spans="1:34" outlineLevel="2" x14ac:dyDescent="0.25">
      <c r="B612" s="71">
        <v>2733</v>
      </c>
      <c r="C612" s="56" t="s">
        <v>316</v>
      </c>
      <c r="E612" s="73">
        <v>183832.69</v>
      </c>
      <c r="F612" s="74">
        <f t="shared" si="960"/>
        <v>303592.12</v>
      </c>
      <c r="G612" s="75">
        <v>46525.599999999999</v>
      </c>
      <c r="H612" s="56" t="s">
        <v>98</v>
      </c>
      <c r="I612" s="73">
        <f t="shared" si="959"/>
        <v>6.5252703887752119</v>
      </c>
      <c r="K612" s="68">
        <f t="shared" si="961"/>
        <v>0</v>
      </c>
      <c r="L612" s="62">
        <f t="shared" si="952"/>
        <v>0</v>
      </c>
      <c r="M612" s="69">
        <f t="shared" si="877"/>
        <v>0</v>
      </c>
      <c r="P612" s="68">
        <f t="shared" si="963"/>
        <v>0</v>
      </c>
      <c r="Q612" s="62">
        <f t="shared" si="954"/>
        <v>0</v>
      </c>
      <c r="R612" s="69">
        <f t="shared" si="878"/>
        <v>0</v>
      </c>
      <c r="U612" s="68">
        <f t="shared" si="965"/>
        <v>0</v>
      </c>
      <c r="V612" s="62">
        <f t="shared" si="913"/>
        <v>0</v>
      </c>
      <c r="W612" s="69">
        <f t="shared" si="879"/>
        <v>0</v>
      </c>
      <c r="Z612" s="68">
        <f t="shared" si="967"/>
        <v>0</v>
      </c>
      <c r="AA612" s="68">
        <f t="shared" si="915"/>
        <v>0</v>
      </c>
      <c r="AB612" s="69">
        <f t="shared" si="874"/>
        <v>0</v>
      </c>
      <c r="AD612" s="75">
        <f>AD611*G612/G611</f>
        <v>0</v>
      </c>
    </row>
    <row r="613" spans="1:34" outlineLevel="1" x14ac:dyDescent="0.25">
      <c r="A613" s="67"/>
      <c r="B613" s="66"/>
      <c r="C613" s="67" t="s">
        <v>317</v>
      </c>
      <c r="D613" s="68"/>
      <c r="E613" s="68">
        <v>35278.15</v>
      </c>
      <c r="F613" s="68">
        <f t="shared" si="960"/>
        <v>58260.41</v>
      </c>
      <c r="G613" s="69">
        <v>347206</v>
      </c>
      <c r="H613" s="67" t="s">
        <v>41</v>
      </c>
      <c r="I613" s="68">
        <f t="shared" si="959"/>
        <v>0.1677978203141651</v>
      </c>
      <c r="J613" s="69"/>
      <c r="K613" s="68">
        <f t="shared" si="961"/>
        <v>0</v>
      </c>
      <c r="L613" s="62">
        <f t="shared" si="952"/>
        <v>33929.726054446066</v>
      </c>
      <c r="M613" s="69">
        <f t="shared" si="877"/>
        <v>202206</v>
      </c>
      <c r="N613" s="70">
        <f t="shared" ref="N613" si="975">100%-(L613/$F613)</f>
        <v>0.41761951118356244</v>
      </c>
      <c r="O613" s="69"/>
      <c r="P613" s="68">
        <f t="shared" si="963"/>
        <v>0</v>
      </c>
      <c r="Q613" s="62">
        <f t="shared" si="954"/>
        <v>33929.726054446066</v>
      </c>
      <c r="R613" s="69">
        <f t="shared" si="878"/>
        <v>202206</v>
      </c>
      <c r="S613" s="70">
        <f t="shared" ref="S613" si="976">100%-(Q613/$F613)</f>
        <v>0.41761951118356244</v>
      </c>
      <c r="T613" s="69"/>
      <c r="U613" s="68">
        <f t="shared" si="965"/>
        <v>0</v>
      </c>
      <c r="V613" s="62">
        <f t="shared" si="913"/>
        <v>33929.726054446066</v>
      </c>
      <c r="W613" s="69">
        <f t="shared" si="879"/>
        <v>202206</v>
      </c>
      <c r="X613" s="70">
        <f t="shared" ref="X613" si="977">100%-(V613/$F613)</f>
        <v>0.41761951118356244</v>
      </c>
      <c r="Y613" s="69">
        <v>145000</v>
      </c>
      <c r="Z613" s="68">
        <f t="shared" si="967"/>
        <v>24330.683945553938</v>
      </c>
      <c r="AA613" s="68">
        <f t="shared" si="915"/>
        <v>33929.726054446066</v>
      </c>
      <c r="AB613" s="69">
        <f t="shared" si="874"/>
        <v>202206</v>
      </c>
      <c r="AC613" s="70">
        <f t="shared" ref="AC613" si="978">100%-(AA613/$F613)</f>
        <v>0.41761951118356244</v>
      </c>
      <c r="AD613" s="69"/>
      <c r="AE613" s="68">
        <f>AD613*I613</f>
        <v>0</v>
      </c>
      <c r="AF613" s="68">
        <f>F613-AE613</f>
        <v>58260.41</v>
      </c>
      <c r="AG613" s="69">
        <f>G613-AD613</f>
        <v>347206</v>
      </c>
      <c r="AH613" s="70">
        <f t="shared" ref="AH613" si="979">100%-(AF613/$F613)</f>
        <v>0</v>
      </c>
    </row>
    <row r="614" spans="1:34" outlineLevel="2" x14ac:dyDescent="0.25">
      <c r="B614" s="71">
        <v>2731</v>
      </c>
      <c r="C614" s="56" t="s">
        <v>318</v>
      </c>
      <c r="E614" s="73">
        <v>35278.15</v>
      </c>
      <c r="F614" s="74">
        <f t="shared" si="960"/>
        <v>58260.41</v>
      </c>
      <c r="G614" s="75">
        <v>46525.599999999999</v>
      </c>
      <c r="H614" s="56" t="s">
        <v>98</v>
      </c>
      <c r="I614" s="73">
        <f t="shared" si="959"/>
        <v>1.2522226473167462</v>
      </c>
      <c r="K614" s="68">
        <f t="shared" si="961"/>
        <v>0</v>
      </c>
      <c r="L614" s="62">
        <f t="shared" si="952"/>
        <v>0</v>
      </c>
      <c r="M614" s="69">
        <f t="shared" si="877"/>
        <v>0</v>
      </c>
      <c r="P614" s="68">
        <f t="shared" si="963"/>
        <v>0</v>
      </c>
      <c r="Q614" s="62">
        <f t="shared" si="954"/>
        <v>0</v>
      </c>
      <c r="R614" s="69">
        <f t="shared" si="878"/>
        <v>0</v>
      </c>
      <c r="U614" s="68">
        <f t="shared" si="965"/>
        <v>0</v>
      </c>
      <c r="V614" s="62">
        <f t="shared" si="913"/>
        <v>0</v>
      </c>
      <c r="W614" s="69">
        <f t="shared" si="879"/>
        <v>0</v>
      </c>
      <c r="AA614" s="68">
        <f t="shared" si="915"/>
        <v>0</v>
      </c>
      <c r="AB614" s="69">
        <f t="shared" si="874"/>
        <v>0</v>
      </c>
      <c r="AD614" s="75">
        <f>AD613*G614/G613</f>
        <v>0</v>
      </c>
    </row>
    <row r="615" spans="1:34" outlineLevel="1" x14ac:dyDescent="0.25">
      <c r="A615" s="67"/>
      <c r="B615" s="66"/>
      <c r="C615" s="67" t="s">
        <v>319</v>
      </c>
      <c r="D615" s="68"/>
      <c r="E615" s="68">
        <v>35278.15</v>
      </c>
      <c r="F615" s="68">
        <f t="shared" si="960"/>
        <v>58260.41</v>
      </c>
      <c r="G615" s="69">
        <v>347206</v>
      </c>
      <c r="H615" s="67" t="s">
        <v>41</v>
      </c>
      <c r="I615" s="68">
        <f t="shared" si="959"/>
        <v>0.1677978203141651</v>
      </c>
      <c r="J615" s="69"/>
      <c r="K615" s="68">
        <f t="shared" si="961"/>
        <v>0</v>
      </c>
      <c r="L615" s="62">
        <f t="shared" si="952"/>
        <v>32889.37956849824</v>
      </c>
      <c r="M615" s="69">
        <f t="shared" si="877"/>
        <v>196006</v>
      </c>
      <c r="N615" s="70">
        <f t="shared" ref="N615" si="980">100%-(L615/$F615)</f>
        <v>0.43547634545485969</v>
      </c>
      <c r="O615" s="69"/>
      <c r="P615" s="68">
        <f t="shared" si="963"/>
        <v>0</v>
      </c>
      <c r="Q615" s="62">
        <f t="shared" si="954"/>
        <v>32889.37956849824</v>
      </c>
      <c r="R615" s="69">
        <f t="shared" si="878"/>
        <v>196006</v>
      </c>
      <c r="S615" s="70">
        <f t="shared" ref="S615" si="981">100%-(Q615/$F615)</f>
        <v>0.43547634545485969</v>
      </c>
      <c r="T615" s="69">
        <v>151200</v>
      </c>
      <c r="U615" s="68">
        <f t="shared" si="965"/>
        <v>25371.030431501764</v>
      </c>
      <c r="V615" s="62">
        <f t="shared" si="913"/>
        <v>32889.37956849824</v>
      </c>
      <c r="W615" s="69">
        <f t="shared" si="879"/>
        <v>196006</v>
      </c>
      <c r="X615" s="70">
        <f t="shared" ref="X615" si="982">100%-(V615/$F615)</f>
        <v>0.43547634545485969</v>
      </c>
      <c r="Y615" s="69"/>
      <c r="Z615" s="68">
        <f>Y615*D615</f>
        <v>0</v>
      </c>
      <c r="AA615" s="68">
        <f t="shared" si="915"/>
        <v>58260.41</v>
      </c>
      <c r="AB615" s="69">
        <f t="shared" si="874"/>
        <v>347206</v>
      </c>
      <c r="AC615" s="70">
        <f t="shared" ref="AC615" si="983">100%-(AA615/$F615)</f>
        <v>0</v>
      </c>
      <c r="AD615" s="69"/>
      <c r="AE615" s="68">
        <f>AD615*I615</f>
        <v>0</v>
      </c>
      <c r="AF615" s="68">
        <f>F615-AE615</f>
        <v>58260.41</v>
      </c>
      <c r="AG615" s="69">
        <f>G615-AD615</f>
        <v>347206</v>
      </c>
      <c r="AH615" s="70">
        <f t="shared" ref="AH615" si="984">100%-(AF615/$F615)</f>
        <v>0</v>
      </c>
    </row>
    <row r="616" spans="1:34" outlineLevel="2" x14ac:dyDescent="0.25">
      <c r="B616" s="71">
        <v>2731</v>
      </c>
      <c r="C616" s="56" t="s">
        <v>318</v>
      </c>
      <c r="E616" s="73">
        <v>35278.15</v>
      </c>
      <c r="F616" s="74">
        <f t="shared" si="960"/>
        <v>58260.41</v>
      </c>
      <c r="G616" s="75">
        <v>46525.599999999999</v>
      </c>
      <c r="H616" s="56" t="s">
        <v>98</v>
      </c>
      <c r="I616" s="73">
        <f t="shared" si="959"/>
        <v>1.2522226473167462</v>
      </c>
      <c r="K616" s="68">
        <f t="shared" si="961"/>
        <v>0</v>
      </c>
      <c r="L616" s="62">
        <f t="shared" si="952"/>
        <v>0</v>
      </c>
      <c r="M616" s="69">
        <f t="shared" si="877"/>
        <v>0</v>
      </c>
      <c r="P616" s="68">
        <f t="shared" si="963"/>
        <v>0</v>
      </c>
      <c r="Q616" s="62">
        <f t="shared" si="954"/>
        <v>0</v>
      </c>
      <c r="R616" s="69">
        <f t="shared" si="878"/>
        <v>0</v>
      </c>
      <c r="U616" s="68">
        <f t="shared" si="965"/>
        <v>0</v>
      </c>
      <c r="V616" s="62">
        <f t="shared" si="913"/>
        <v>0</v>
      </c>
      <c r="W616" s="69">
        <f t="shared" si="879"/>
        <v>0</v>
      </c>
      <c r="AA616" s="68">
        <f t="shared" si="915"/>
        <v>0</v>
      </c>
      <c r="AB616" s="69">
        <f t="shared" si="874"/>
        <v>0</v>
      </c>
      <c r="AD616" s="75">
        <f>AD615*G616/G615</f>
        <v>0</v>
      </c>
    </row>
    <row r="617" spans="1:34" outlineLevel="1" x14ac:dyDescent="0.25">
      <c r="A617" s="67"/>
      <c r="B617" s="66"/>
      <c r="C617" s="67" t="s">
        <v>320</v>
      </c>
      <c r="D617" s="68"/>
      <c r="E617" s="68">
        <v>35278.15</v>
      </c>
      <c r="F617" s="68">
        <f t="shared" si="960"/>
        <v>58260.41</v>
      </c>
      <c r="G617" s="69">
        <v>347206</v>
      </c>
      <c r="H617" s="67" t="s">
        <v>41</v>
      </c>
      <c r="I617" s="68">
        <f t="shared" si="959"/>
        <v>0.1677978203141651</v>
      </c>
      <c r="J617" s="69"/>
      <c r="K617" s="68">
        <f t="shared" si="961"/>
        <v>0</v>
      </c>
      <c r="L617" s="62">
        <f t="shared" si="952"/>
        <v>32889.37956849824</v>
      </c>
      <c r="M617" s="69">
        <f t="shared" si="877"/>
        <v>196006</v>
      </c>
      <c r="N617" s="70">
        <f t="shared" ref="N617" si="985">100%-(L617/$F617)</f>
        <v>0.43547634545485969</v>
      </c>
      <c r="O617" s="69"/>
      <c r="P617" s="68">
        <f t="shared" si="963"/>
        <v>0</v>
      </c>
      <c r="Q617" s="62">
        <f t="shared" si="954"/>
        <v>32889.37956849824</v>
      </c>
      <c r="R617" s="69">
        <f t="shared" si="878"/>
        <v>196006</v>
      </c>
      <c r="S617" s="70">
        <f t="shared" ref="S617" si="986">100%-(Q617/$F617)</f>
        <v>0.43547634545485969</v>
      </c>
      <c r="T617" s="69">
        <v>151200</v>
      </c>
      <c r="U617" s="68">
        <f t="shared" si="965"/>
        <v>25371.030431501764</v>
      </c>
      <c r="V617" s="62">
        <f t="shared" si="913"/>
        <v>32889.37956849824</v>
      </c>
      <c r="W617" s="69">
        <f t="shared" si="879"/>
        <v>196006</v>
      </c>
      <c r="X617" s="70">
        <f t="shared" ref="X617" si="987">100%-(V617/$F617)</f>
        <v>0.43547634545485969</v>
      </c>
      <c r="Y617" s="69"/>
      <c r="Z617" s="68">
        <f>Y617*D617</f>
        <v>0</v>
      </c>
      <c r="AA617" s="68">
        <f t="shared" si="915"/>
        <v>58260.41</v>
      </c>
      <c r="AB617" s="69">
        <f t="shared" si="874"/>
        <v>347206</v>
      </c>
      <c r="AC617" s="70">
        <f t="shared" ref="AC617" si="988">100%-(AA617/$F617)</f>
        <v>0</v>
      </c>
      <c r="AD617" s="69"/>
      <c r="AE617" s="68">
        <f>AD617*I617</f>
        <v>0</v>
      </c>
      <c r="AF617" s="68">
        <f>F617-AE617</f>
        <v>58260.41</v>
      </c>
      <c r="AG617" s="69">
        <f>G617-AD617</f>
        <v>347206</v>
      </c>
      <c r="AH617" s="70">
        <f t="shared" ref="AH617" si="989">100%-(AF617/$F617)</f>
        <v>0</v>
      </c>
    </row>
    <row r="618" spans="1:34" outlineLevel="2" x14ac:dyDescent="0.25">
      <c r="B618" s="71">
        <v>2731</v>
      </c>
      <c r="C618" s="56" t="s">
        <v>318</v>
      </c>
      <c r="E618" s="73">
        <v>35278.15</v>
      </c>
      <c r="F618" s="74">
        <f t="shared" si="960"/>
        <v>58260.41</v>
      </c>
      <c r="G618" s="75">
        <v>46525.599999999999</v>
      </c>
      <c r="H618" s="56" t="s">
        <v>98</v>
      </c>
      <c r="I618" s="73">
        <f t="shared" si="959"/>
        <v>1.2522226473167462</v>
      </c>
      <c r="K618" s="68">
        <f t="shared" si="961"/>
        <v>0</v>
      </c>
      <c r="L618" s="62">
        <f t="shared" si="952"/>
        <v>0</v>
      </c>
      <c r="M618" s="69">
        <f t="shared" si="877"/>
        <v>0</v>
      </c>
      <c r="P618" s="68">
        <f t="shared" si="963"/>
        <v>0</v>
      </c>
      <c r="Q618" s="62">
        <f t="shared" si="954"/>
        <v>0</v>
      </c>
      <c r="R618" s="69">
        <f t="shared" si="878"/>
        <v>0</v>
      </c>
      <c r="U618" s="68">
        <f t="shared" si="965"/>
        <v>0</v>
      </c>
      <c r="V618" s="62">
        <f t="shared" si="913"/>
        <v>0</v>
      </c>
      <c r="W618" s="69">
        <f t="shared" si="879"/>
        <v>0</v>
      </c>
      <c r="AA618" s="68">
        <f t="shared" si="915"/>
        <v>0</v>
      </c>
      <c r="AB618" s="69">
        <f t="shared" si="874"/>
        <v>0</v>
      </c>
      <c r="AD618" s="75">
        <f>AD617*G618/G617</f>
        <v>0</v>
      </c>
    </row>
    <row r="619" spans="1:34" outlineLevel="1" x14ac:dyDescent="0.25">
      <c r="A619" s="67"/>
      <c r="B619" s="66"/>
      <c r="C619" s="67" t="s">
        <v>321</v>
      </c>
      <c r="D619" s="68"/>
      <c r="E619" s="68">
        <v>277418.23999999999</v>
      </c>
      <c r="F619" s="68">
        <f t="shared" si="960"/>
        <v>458144.81</v>
      </c>
      <c r="G619" s="69">
        <v>1</v>
      </c>
      <c r="H619" s="67" t="s">
        <v>34</v>
      </c>
      <c r="I619" s="68">
        <f t="shared" si="959"/>
        <v>458144.81</v>
      </c>
      <c r="J619" s="69"/>
      <c r="K619" s="68">
        <f t="shared" si="961"/>
        <v>0</v>
      </c>
      <c r="L619" s="62">
        <f t="shared" si="952"/>
        <v>153497.22815996266</v>
      </c>
      <c r="M619" s="69">
        <f t="shared" si="877"/>
        <v>0.43000000000000005</v>
      </c>
      <c r="N619" s="70">
        <f t="shared" ref="N619:N625" si="990">100%-(L619/$F619)</f>
        <v>0.66495914651971577</v>
      </c>
      <c r="O619" s="69"/>
      <c r="P619" s="68">
        <f t="shared" si="963"/>
        <v>0</v>
      </c>
      <c r="Q619" s="62">
        <f t="shared" si="954"/>
        <v>153497.22815996266</v>
      </c>
      <c r="R619" s="69">
        <f t="shared" si="878"/>
        <v>0.43000000000000005</v>
      </c>
      <c r="S619" s="70">
        <f t="shared" ref="S619:S625" si="991">100%-(Q619/$F619)</f>
        <v>0.66495914651971577</v>
      </c>
      <c r="T619" s="69">
        <v>0.36</v>
      </c>
      <c r="U619" s="68">
        <f t="shared" si="965"/>
        <v>164932.13159999999</v>
      </c>
      <c r="V619" s="62">
        <f t="shared" si="913"/>
        <v>153497.22815996266</v>
      </c>
      <c r="W619" s="69">
        <f t="shared" si="879"/>
        <v>0.43000000000000005</v>
      </c>
      <c r="X619" s="70">
        <f t="shared" ref="X619:X625" si="992">100%-(V619/$F619)</f>
        <v>0.66495914651971577</v>
      </c>
      <c r="Y619" s="69">
        <v>0.21</v>
      </c>
      <c r="Z619" s="68">
        <f>+Z620+Z621+Z622+Z624</f>
        <v>139715.45024003735</v>
      </c>
      <c r="AA619" s="68">
        <f t="shared" si="915"/>
        <v>318429.35975996265</v>
      </c>
      <c r="AB619" s="69">
        <f t="shared" si="874"/>
        <v>0.79</v>
      </c>
      <c r="AC619" s="70">
        <f t="shared" ref="AC619" si="993">100%-(AA619/$F619)</f>
        <v>0.30495914651971578</v>
      </c>
      <c r="AD619" s="69"/>
      <c r="AE619" s="68">
        <f>AD619*I619</f>
        <v>0</v>
      </c>
      <c r="AF619" s="68">
        <f>F619-AE619</f>
        <v>458144.81</v>
      </c>
      <c r="AG619" s="69">
        <f>G619-AD619</f>
        <v>1</v>
      </c>
      <c r="AH619" s="70">
        <f t="shared" ref="AH619" si="994">100%-(AF619/$F619)</f>
        <v>0</v>
      </c>
    </row>
    <row r="620" spans="1:34" outlineLevel="2" x14ac:dyDescent="0.25">
      <c r="B620" s="71">
        <v>5012</v>
      </c>
      <c r="C620" s="56" t="s">
        <v>59</v>
      </c>
      <c r="E620" s="73">
        <v>164220.84</v>
      </c>
      <c r="F620" s="74">
        <f t="shared" si="960"/>
        <v>271203.96000000002</v>
      </c>
      <c r="G620" s="75">
        <v>4233</v>
      </c>
      <c r="H620" s="56" t="s">
        <v>40</v>
      </c>
      <c r="I620" s="73">
        <f t="shared" si="959"/>
        <v>64.068972360028354</v>
      </c>
      <c r="K620" s="68">
        <f t="shared" si="961"/>
        <v>0</v>
      </c>
      <c r="L620" s="62">
        <f t="shared" si="952"/>
        <v>-166130.84532955353</v>
      </c>
      <c r="M620" s="69">
        <f t="shared" si="877"/>
        <v>-2593</v>
      </c>
      <c r="N620" s="70">
        <f t="shared" si="990"/>
        <v>1.6125679187337587</v>
      </c>
      <c r="P620" s="68">
        <f t="shared" si="963"/>
        <v>0</v>
      </c>
      <c r="Q620" s="62">
        <f t="shared" si="954"/>
        <v>-166130.84532955353</v>
      </c>
      <c r="R620" s="69">
        <f t="shared" si="878"/>
        <v>-2593</v>
      </c>
      <c r="S620" s="70">
        <f t="shared" si="991"/>
        <v>1.6125679187337587</v>
      </c>
      <c r="T620" s="75">
        <v>900</v>
      </c>
      <c r="U620" s="68">
        <f t="shared" si="965"/>
        <v>57662.075124025519</v>
      </c>
      <c r="V620" s="62">
        <f t="shared" si="913"/>
        <v>-166130.84532955353</v>
      </c>
      <c r="W620" s="69">
        <f t="shared" si="879"/>
        <v>-2593</v>
      </c>
      <c r="X620" s="70">
        <f t="shared" si="992"/>
        <v>1.6125679187337587</v>
      </c>
      <c r="Y620" s="75">
        <v>1693</v>
      </c>
      <c r="Z620" s="68">
        <f>+Y620*I620</f>
        <v>108468.77020552801</v>
      </c>
      <c r="AA620" s="68">
        <f t="shared" si="915"/>
        <v>-108468.77020552801</v>
      </c>
      <c r="AB620" s="69">
        <f t="shared" si="874"/>
        <v>-1693</v>
      </c>
      <c r="AD620" s="75">
        <f>$AD$619*G620/$G$619</f>
        <v>0</v>
      </c>
    </row>
    <row r="621" spans="1:34" outlineLevel="2" x14ac:dyDescent="0.25">
      <c r="B621" s="71">
        <v>2185</v>
      </c>
      <c r="C621" s="56" t="s">
        <v>51</v>
      </c>
      <c r="E621" s="73">
        <v>44869.06</v>
      </c>
      <c r="F621" s="74">
        <f t="shared" si="960"/>
        <v>74099.41</v>
      </c>
      <c r="G621" s="75">
        <v>2271.85</v>
      </c>
      <c r="H621" s="56" t="s">
        <v>43</v>
      </c>
      <c r="I621" s="73">
        <f t="shared" si="959"/>
        <v>32.616330303497151</v>
      </c>
      <c r="K621" s="68">
        <f t="shared" si="961"/>
        <v>0</v>
      </c>
      <c r="L621" s="62">
        <f t="shared" si="952"/>
        <v>-13046.532121398861</v>
      </c>
      <c r="M621" s="69">
        <f t="shared" si="877"/>
        <v>-400</v>
      </c>
      <c r="N621" s="70">
        <f t="shared" si="990"/>
        <v>1.176067962233422</v>
      </c>
      <c r="P621" s="68">
        <f t="shared" si="963"/>
        <v>0</v>
      </c>
      <c r="Q621" s="62">
        <f t="shared" si="954"/>
        <v>-13046.532121398861</v>
      </c>
      <c r="R621" s="69">
        <f t="shared" si="878"/>
        <v>-400</v>
      </c>
      <c r="S621" s="70">
        <f t="shared" si="991"/>
        <v>1.176067962233422</v>
      </c>
      <c r="U621" s="68">
        <f t="shared" si="965"/>
        <v>0</v>
      </c>
      <c r="V621" s="62">
        <f t="shared" si="913"/>
        <v>-13046.532121398861</v>
      </c>
      <c r="W621" s="69">
        <f t="shared" si="879"/>
        <v>-400</v>
      </c>
      <c r="X621" s="70">
        <f t="shared" si="992"/>
        <v>1.176067962233422</v>
      </c>
      <c r="Y621" s="75">
        <v>400</v>
      </c>
      <c r="Z621" s="68">
        <f>+Y621*I621</f>
        <v>13046.532121398861</v>
      </c>
      <c r="AA621" s="68">
        <f t="shared" si="915"/>
        <v>-13046.532121398861</v>
      </c>
      <c r="AB621" s="69">
        <f t="shared" ref="AB621:AB654" si="995">+AG621-Y621</f>
        <v>-400</v>
      </c>
      <c r="AD621" s="75">
        <f>$AD$619*G621/$G$619</f>
        <v>0</v>
      </c>
    </row>
    <row r="622" spans="1:34" outlineLevel="2" x14ac:dyDescent="0.25">
      <c r="B622" s="71">
        <v>2149</v>
      </c>
      <c r="C622" s="56" t="s">
        <v>48</v>
      </c>
      <c r="E622" s="73">
        <v>19261.349999999999</v>
      </c>
      <c r="F622" s="74">
        <f t="shared" si="960"/>
        <v>31809.33</v>
      </c>
      <c r="G622" s="75">
        <v>2271.85</v>
      </c>
      <c r="H622" s="56" t="s">
        <v>43</v>
      </c>
      <c r="I622" s="73">
        <f t="shared" si="959"/>
        <v>14.001509782776154</v>
      </c>
      <c r="K622" s="68">
        <f t="shared" si="961"/>
        <v>0</v>
      </c>
      <c r="L622" s="62">
        <f t="shared" si="952"/>
        <v>-5600.6039131104617</v>
      </c>
      <c r="M622" s="69">
        <f t="shared" ref="M622:M654" si="996">+R622-J622</f>
        <v>-400</v>
      </c>
      <c r="N622" s="70">
        <f t="shared" si="990"/>
        <v>1.176067962233422</v>
      </c>
      <c r="P622" s="68">
        <f t="shared" si="963"/>
        <v>0</v>
      </c>
      <c r="Q622" s="62">
        <f t="shared" si="954"/>
        <v>-5600.6039131104617</v>
      </c>
      <c r="R622" s="69">
        <f t="shared" ref="R622:R654" si="997">+W622-O622</f>
        <v>-400</v>
      </c>
      <c r="S622" s="70">
        <f t="shared" si="991"/>
        <v>1.176067962233422</v>
      </c>
      <c r="U622" s="68">
        <f t="shared" si="965"/>
        <v>0</v>
      </c>
      <c r="V622" s="62">
        <f t="shared" si="913"/>
        <v>-5600.6039131104617</v>
      </c>
      <c r="W622" s="69">
        <f t="shared" ref="W622:W654" si="998">+AB622-T622</f>
        <v>-400</v>
      </c>
      <c r="X622" s="70">
        <f t="shared" si="992"/>
        <v>1.176067962233422</v>
      </c>
      <c r="Y622" s="75">
        <v>400</v>
      </c>
      <c r="Z622" s="68">
        <f>+Y622*I622</f>
        <v>5600.6039131104617</v>
      </c>
      <c r="AA622" s="68">
        <f t="shared" si="915"/>
        <v>-5600.6039131104617</v>
      </c>
      <c r="AB622" s="69">
        <f t="shared" si="995"/>
        <v>-400</v>
      </c>
      <c r="AD622" s="75">
        <f>$AD$619*G622/$G$619</f>
        <v>0</v>
      </c>
    </row>
    <row r="623" spans="1:34" outlineLevel="2" x14ac:dyDescent="0.25">
      <c r="B623" s="71">
        <v>2735</v>
      </c>
      <c r="C623" s="56" t="s">
        <v>324</v>
      </c>
      <c r="E623" s="73">
        <v>10920.28</v>
      </c>
      <c r="F623" s="74">
        <f t="shared" si="960"/>
        <v>18034.39</v>
      </c>
      <c r="G623" s="75">
        <v>9518</v>
      </c>
      <c r="H623" s="56" t="s">
        <v>40</v>
      </c>
      <c r="I623" s="73">
        <f t="shared" si="959"/>
        <v>1.8947667577222105</v>
      </c>
      <c r="K623" s="68">
        <f t="shared" si="961"/>
        <v>0</v>
      </c>
      <c r="L623" s="62">
        <f t="shared" si="952"/>
        <v>0</v>
      </c>
      <c r="M623" s="69">
        <f t="shared" si="996"/>
        <v>0</v>
      </c>
      <c r="N623" s="70">
        <f t="shared" si="990"/>
        <v>1</v>
      </c>
      <c r="P623" s="68">
        <f t="shared" si="963"/>
        <v>0</v>
      </c>
      <c r="Q623" s="62">
        <f t="shared" si="954"/>
        <v>0</v>
      </c>
      <c r="R623" s="69">
        <f t="shared" si="997"/>
        <v>0</v>
      </c>
      <c r="S623" s="70">
        <f t="shared" si="991"/>
        <v>1</v>
      </c>
      <c r="U623" s="68">
        <f t="shared" si="965"/>
        <v>0</v>
      </c>
      <c r="V623" s="62">
        <f t="shared" si="913"/>
        <v>0</v>
      </c>
      <c r="W623" s="69">
        <f t="shared" si="998"/>
        <v>0</v>
      </c>
      <c r="X623" s="70">
        <f t="shared" si="992"/>
        <v>1</v>
      </c>
      <c r="Y623" s="75">
        <f>$AD$619*B623/$G$619</f>
        <v>0</v>
      </c>
      <c r="Z623" s="68">
        <f>+Y623*I623</f>
        <v>0</v>
      </c>
      <c r="AA623" s="68">
        <f t="shared" si="915"/>
        <v>0</v>
      </c>
      <c r="AB623" s="69">
        <f t="shared" si="995"/>
        <v>0</v>
      </c>
      <c r="AD623" s="75">
        <f>$AD$619*G623/$G$619</f>
        <v>0</v>
      </c>
    </row>
    <row r="624" spans="1:34" outlineLevel="2" x14ac:dyDescent="0.25">
      <c r="B624" s="71">
        <v>6480</v>
      </c>
      <c r="C624" s="56" t="s">
        <v>96</v>
      </c>
      <c r="E624" s="73">
        <v>38146.71</v>
      </c>
      <c r="F624" s="74">
        <f t="shared" si="960"/>
        <v>62997.72</v>
      </c>
      <c r="G624" s="75">
        <v>1</v>
      </c>
      <c r="H624" s="56" t="s">
        <v>34</v>
      </c>
      <c r="I624" s="73">
        <f t="shared" si="959"/>
        <v>62997.72</v>
      </c>
      <c r="K624" s="68">
        <f t="shared" si="961"/>
        <v>0</v>
      </c>
      <c r="L624" s="62">
        <f t="shared" si="952"/>
        <v>-12599.544000000002</v>
      </c>
      <c r="M624" s="69">
        <f t="shared" si="996"/>
        <v>-0.2</v>
      </c>
      <c r="N624" s="70">
        <f t="shared" si="990"/>
        <v>1.2</v>
      </c>
      <c r="P624" s="68">
        <f t="shared" si="963"/>
        <v>0</v>
      </c>
      <c r="Q624" s="62">
        <f t="shared" si="954"/>
        <v>-12599.544000000002</v>
      </c>
      <c r="R624" s="69">
        <f t="shared" si="997"/>
        <v>-0.2</v>
      </c>
      <c r="S624" s="70">
        <f t="shared" si="991"/>
        <v>1.2</v>
      </c>
      <c r="U624" s="68">
        <f t="shared" si="965"/>
        <v>0</v>
      </c>
      <c r="V624" s="62">
        <f t="shared" si="913"/>
        <v>-12599.544000000002</v>
      </c>
      <c r="W624" s="69">
        <f t="shared" si="998"/>
        <v>-0.2</v>
      </c>
      <c r="X624" s="70">
        <f t="shared" si="992"/>
        <v>1.2</v>
      </c>
      <c r="Y624" s="75">
        <v>0.2</v>
      </c>
      <c r="Z624" s="68">
        <f>+Y624*I624</f>
        <v>12599.544000000002</v>
      </c>
      <c r="AA624" s="68">
        <f t="shared" si="915"/>
        <v>-12599.544000000002</v>
      </c>
      <c r="AB624" s="69">
        <f t="shared" si="995"/>
        <v>-0.2</v>
      </c>
      <c r="AD624" s="75">
        <f>$AD$619*G624/$G$619</f>
        <v>0</v>
      </c>
    </row>
    <row r="625" spans="1:34" outlineLevel="1" x14ac:dyDescent="0.25">
      <c r="A625" s="67"/>
      <c r="B625" s="66"/>
      <c r="C625" s="67" t="s">
        <v>286</v>
      </c>
      <c r="D625" s="68"/>
      <c r="E625" s="68">
        <v>48022.14</v>
      </c>
      <c r="F625" s="68">
        <f t="shared" si="960"/>
        <v>79306.59</v>
      </c>
      <c r="G625" s="69">
        <v>5312</v>
      </c>
      <c r="H625" s="67" t="s">
        <v>40</v>
      </c>
      <c r="I625" s="68">
        <f t="shared" si="959"/>
        <v>14.929704442771083</v>
      </c>
      <c r="J625" s="69"/>
      <c r="K625" s="68">
        <f t="shared" si="961"/>
        <v>0</v>
      </c>
      <c r="L625" s="62">
        <f t="shared" si="952"/>
        <v>53926.092447289157</v>
      </c>
      <c r="M625" s="69">
        <f t="shared" si="996"/>
        <v>3612</v>
      </c>
      <c r="N625" s="70">
        <f t="shared" si="990"/>
        <v>0.32003012048192769</v>
      </c>
      <c r="O625" s="69"/>
      <c r="P625" s="68">
        <f t="shared" si="963"/>
        <v>0</v>
      </c>
      <c r="Q625" s="62">
        <f t="shared" si="954"/>
        <v>53926.092447289157</v>
      </c>
      <c r="R625" s="69">
        <f t="shared" si="997"/>
        <v>3612</v>
      </c>
      <c r="S625" s="70">
        <f t="shared" si="991"/>
        <v>0.32003012048192769</v>
      </c>
      <c r="T625" s="69">
        <v>1700</v>
      </c>
      <c r="U625" s="68">
        <f t="shared" si="965"/>
        <v>25380.49755271084</v>
      </c>
      <c r="V625" s="62">
        <f t="shared" si="913"/>
        <v>53926.092447289157</v>
      </c>
      <c r="W625" s="69">
        <f t="shared" si="998"/>
        <v>3612</v>
      </c>
      <c r="X625" s="70">
        <f t="shared" si="992"/>
        <v>0.32003012048192769</v>
      </c>
      <c r="Y625" s="69"/>
      <c r="Z625" s="68">
        <f>Y625*D625</f>
        <v>0</v>
      </c>
      <c r="AA625" s="68">
        <f t="shared" si="915"/>
        <v>79306.59</v>
      </c>
      <c r="AB625" s="69">
        <f t="shared" si="995"/>
        <v>5312</v>
      </c>
      <c r="AC625" s="70">
        <f t="shared" ref="AC625" si="999">100%-(AA625/$F625)</f>
        <v>0</v>
      </c>
      <c r="AD625" s="69"/>
      <c r="AE625" s="68">
        <f>AD625*I625</f>
        <v>0</v>
      </c>
      <c r="AF625" s="68">
        <f>F625-AE625</f>
        <v>79306.59</v>
      </c>
      <c r="AG625" s="69">
        <f>G625-AD625</f>
        <v>5312</v>
      </c>
      <c r="AH625" s="70">
        <f t="shared" ref="AH625" si="1000">100%-(AF625/$F625)</f>
        <v>0</v>
      </c>
    </row>
    <row r="626" spans="1:34" outlineLevel="2" x14ac:dyDescent="0.25">
      <c r="B626" s="71">
        <v>2736</v>
      </c>
      <c r="C626" s="56" t="s">
        <v>286</v>
      </c>
      <c r="E626" s="73">
        <v>48022.14</v>
      </c>
      <c r="F626" s="74">
        <f t="shared" si="960"/>
        <v>79306.59</v>
      </c>
      <c r="G626" s="75">
        <v>5312</v>
      </c>
      <c r="H626" s="56" t="s">
        <v>40</v>
      </c>
      <c r="I626" s="73">
        <f t="shared" si="959"/>
        <v>14.929704442771083</v>
      </c>
      <c r="L626" s="62">
        <f t="shared" si="952"/>
        <v>0</v>
      </c>
      <c r="M626" s="69">
        <f t="shared" si="996"/>
        <v>0</v>
      </c>
      <c r="Q626" s="62">
        <f t="shared" si="954"/>
        <v>0</v>
      </c>
      <c r="R626" s="69">
        <f t="shared" si="997"/>
        <v>0</v>
      </c>
      <c r="V626" s="62">
        <f t="shared" si="913"/>
        <v>0</v>
      </c>
      <c r="W626" s="69">
        <f t="shared" si="998"/>
        <v>0</v>
      </c>
      <c r="AA626" s="68">
        <f t="shared" si="915"/>
        <v>0</v>
      </c>
      <c r="AB626" s="69">
        <f t="shared" si="995"/>
        <v>0</v>
      </c>
      <c r="AD626" s="75">
        <f>AD625*G626/G625</f>
        <v>0</v>
      </c>
    </row>
    <row r="627" spans="1:34" x14ac:dyDescent="0.25">
      <c r="A627" s="60">
        <v>14</v>
      </c>
      <c r="B627" s="60"/>
      <c r="C627" s="61" t="s">
        <v>326</v>
      </c>
      <c r="D627" s="62">
        <f>_xlfn.XLOOKUP(A627,SOV!$A$9:$A$27,SOV!$C$9:$C$27)</f>
        <v>63300</v>
      </c>
      <c r="E627" s="62">
        <v>55729.67</v>
      </c>
      <c r="F627" s="62"/>
      <c r="G627" s="63"/>
      <c r="H627" s="64"/>
      <c r="I627" s="62"/>
      <c r="J627" s="63"/>
      <c r="K627" s="62">
        <f>SUM(K628,K629,K630,K634)</f>
        <v>0</v>
      </c>
      <c r="L627" s="62">
        <f t="shared" si="952"/>
        <v>0</v>
      </c>
      <c r="M627" s="69">
        <f t="shared" si="996"/>
        <v>0</v>
      </c>
      <c r="N627" s="65"/>
      <c r="O627" s="63"/>
      <c r="P627" s="62">
        <f>SUM(P628,P629,P630,P634)</f>
        <v>0</v>
      </c>
      <c r="Q627" s="62">
        <f t="shared" si="954"/>
        <v>0</v>
      </c>
      <c r="R627" s="69">
        <f t="shared" si="997"/>
        <v>0</v>
      </c>
      <c r="S627" s="65"/>
      <c r="T627" s="63"/>
      <c r="U627" s="62">
        <f>SUM(U628,U629,U630,U634)</f>
        <v>0</v>
      </c>
      <c r="V627" s="62">
        <f t="shared" si="913"/>
        <v>0</v>
      </c>
      <c r="W627" s="69">
        <f t="shared" si="998"/>
        <v>0</v>
      </c>
      <c r="X627" s="65"/>
      <c r="Y627" s="63"/>
      <c r="Z627" s="62">
        <f>SUM(Z628,Z629,Z630,Z634)</f>
        <v>63300</v>
      </c>
      <c r="AA627" s="68">
        <f t="shared" si="915"/>
        <v>0</v>
      </c>
      <c r="AB627" s="69">
        <f t="shared" si="995"/>
        <v>0</v>
      </c>
      <c r="AC627" s="65"/>
      <c r="AD627" s="63"/>
      <c r="AE627" s="62">
        <f>SUM(AE628,AE629,AE630,AE634)</f>
        <v>0</v>
      </c>
      <c r="AF627" s="62">
        <f>SUM(AF628,AF629,AF630,AF634)</f>
        <v>63300</v>
      </c>
      <c r="AG627" s="63"/>
      <c r="AH627" s="65"/>
    </row>
    <row r="628" spans="1:34" outlineLevel="1" x14ac:dyDescent="0.25">
      <c r="A628" s="67"/>
      <c r="B628" s="66">
        <v>2185</v>
      </c>
      <c r="C628" s="67" t="s">
        <v>51</v>
      </c>
      <c r="D628" s="68"/>
      <c r="E628" s="68">
        <v>1975</v>
      </c>
      <c r="F628" s="68">
        <f>ROUND($D$627/$E$627*E628,2)</f>
        <v>2243.2800000000002</v>
      </c>
      <c r="G628" s="69">
        <v>100</v>
      </c>
      <c r="H628" s="67" t="s">
        <v>43</v>
      </c>
      <c r="I628" s="68">
        <f t="shared" si="959"/>
        <v>22.4328</v>
      </c>
      <c r="J628" s="69"/>
      <c r="K628" s="73">
        <f t="shared" ref="K628:K634" si="1001">+J628*D628</f>
        <v>0</v>
      </c>
      <c r="L628" s="62">
        <f t="shared" si="952"/>
        <v>0</v>
      </c>
      <c r="M628" s="69">
        <f t="shared" si="996"/>
        <v>0</v>
      </c>
      <c r="N628" s="70">
        <f t="shared" ref="N628:N630" si="1002">100%-(L628/$F628)</f>
        <v>1</v>
      </c>
      <c r="O628" s="69"/>
      <c r="P628" s="73">
        <f t="shared" ref="P628:P634" si="1003">+O628*I628</f>
        <v>0</v>
      </c>
      <c r="Q628" s="62">
        <f t="shared" si="954"/>
        <v>0</v>
      </c>
      <c r="R628" s="69">
        <f t="shared" si="997"/>
        <v>0</v>
      </c>
      <c r="S628" s="70">
        <f t="shared" ref="S628:S630" si="1004">100%-(Q628/$F628)</f>
        <v>1</v>
      </c>
      <c r="T628" s="69"/>
      <c r="U628" s="68">
        <f t="shared" ref="U628:U634" si="1005">+T628*D628</f>
        <v>0</v>
      </c>
      <c r="V628" s="62">
        <f t="shared" si="913"/>
        <v>0</v>
      </c>
      <c r="W628" s="69">
        <f t="shared" si="998"/>
        <v>0</v>
      </c>
      <c r="X628" s="70">
        <f t="shared" ref="X628:X630" si="1006">100%-(V628/$F628)</f>
        <v>1</v>
      </c>
      <c r="Y628" s="69">
        <v>100</v>
      </c>
      <c r="Z628" s="68">
        <f t="shared" ref="Z628:Z634" si="1007">+Y628*I628</f>
        <v>2243.2800000000002</v>
      </c>
      <c r="AA628" s="68">
        <f t="shared" si="915"/>
        <v>0</v>
      </c>
      <c r="AB628" s="69">
        <f t="shared" si="995"/>
        <v>0</v>
      </c>
      <c r="AC628" s="70">
        <f t="shared" ref="AC628:AC630" si="1008">100%-(AA628/$F628)</f>
        <v>1</v>
      </c>
      <c r="AD628" s="69"/>
      <c r="AE628" s="68">
        <f>AD628*I628</f>
        <v>0</v>
      </c>
      <c r="AF628" s="68">
        <f>F628-AE628</f>
        <v>2243.2800000000002</v>
      </c>
      <c r="AG628" s="69">
        <f>G628-AD628</f>
        <v>100</v>
      </c>
      <c r="AH628" s="70">
        <f t="shared" ref="AH628:AH630" si="1009">100%-(AF628/$F628)</f>
        <v>0</v>
      </c>
    </row>
    <row r="629" spans="1:34" outlineLevel="1" x14ac:dyDescent="0.25">
      <c r="A629" s="67"/>
      <c r="B629" s="66">
        <v>2149</v>
      </c>
      <c r="C629" s="67" t="s">
        <v>48</v>
      </c>
      <c r="D629" s="68"/>
      <c r="E629" s="68">
        <v>847.83</v>
      </c>
      <c r="F629" s="68">
        <f t="shared" ref="F629:F634" si="1010">ROUND($D$627/$E$627*E629,2)</f>
        <v>963</v>
      </c>
      <c r="G629" s="69">
        <v>100</v>
      </c>
      <c r="H629" s="67" t="s">
        <v>43</v>
      </c>
      <c r="I629" s="68">
        <f t="shared" si="959"/>
        <v>9.6300000000000008</v>
      </c>
      <c r="J629" s="69"/>
      <c r="K629" s="73">
        <f t="shared" si="1001"/>
        <v>0</v>
      </c>
      <c r="L629" s="62">
        <f t="shared" si="952"/>
        <v>0</v>
      </c>
      <c r="M629" s="69">
        <f t="shared" si="996"/>
        <v>0</v>
      </c>
      <c r="N629" s="70">
        <f t="shared" si="1002"/>
        <v>1</v>
      </c>
      <c r="O629" s="69"/>
      <c r="P629" s="73">
        <f t="shared" si="1003"/>
        <v>0</v>
      </c>
      <c r="Q629" s="62">
        <f t="shared" si="954"/>
        <v>0</v>
      </c>
      <c r="R629" s="69">
        <f t="shared" si="997"/>
        <v>0</v>
      </c>
      <c r="S629" s="70">
        <f t="shared" si="1004"/>
        <v>1</v>
      </c>
      <c r="T629" s="69"/>
      <c r="U629" s="68">
        <f t="shared" si="1005"/>
        <v>0</v>
      </c>
      <c r="V629" s="62">
        <f t="shared" si="913"/>
        <v>0</v>
      </c>
      <c r="W629" s="69">
        <f t="shared" si="998"/>
        <v>0</v>
      </c>
      <c r="X629" s="70">
        <f t="shared" si="1006"/>
        <v>1</v>
      </c>
      <c r="Y629" s="69">
        <v>100</v>
      </c>
      <c r="Z629" s="68">
        <f t="shared" si="1007"/>
        <v>963.00000000000011</v>
      </c>
      <c r="AA629" s="68">
        <f t="shared" si="915"/>
        <v>0</v>
      </c>
      <c r="AB629" s="69">
        <f t="shared" si="995"/>
        <v>0</v>
      </c>
      <c r="AC629" s="70">
        <f t="shared" si="1008"/>
        <v>1</v>
      </c>
      <c r="AD629" s="69"/>
      <c r="AE629" s="68">
        <f>AD629*I629</f>
        <v>0</v>
      </c>
      <c r="AF629" s="68">
        <f>F629-AE629</f>
        <v>963</v>
      </c>
      <c r="AG629" s="69">
        <f>G629-AD629</f>
        <v>100</v>
      </c>
      <c r="AH629" s="70">
        <f t="shared" si="1009"/>
        <v>0</v>
      </c>
    </row>
    <row r="630" spans="1:34" outlineLevel="1" x14ac:dyDescent="0.25">
      <c r="A630" s="67"/>
      <c r="B630" s="66"/>
      <c r="C630" s="67" t="s">
        <v>327</v>
      </c>
      <c r="D630" s="68"/>
      <c r="E630" s="68">
        <v>1731.85</v>
      </c>
      <c r="F630" s="68">
        <f t="shared" si="1010"/>
        <v>1967.1</v>
      </c>
      <c r="G630" s="69">
        <v>100</v>
      </c>
      <c r="H630" s="67" t="s">
        <v>40</v>
      </c>
      <c r="I630" s="68">
        <f t="shared" si="959"/>
        <v>19.670999999999999</v>
      </c>
      <c r="J630" s="69"/>
      <c r="K630" s="73">
        <f t="shared" si="1001"/>
        <v>0</v>
      </c>
      <c r="L630" s="62">
        <f t="shared" si="952"/>
        <v>0</v>
      </c>
      <c r="M630" s="69">
        <f t="shared" si="996"/>
        <v>0</v>
      </c>
      <c r="N630" s="70">
        <f t="shared" si="1002"/>
        <v>1</v>
      </c>
      <c r="O630" s="69"/>
      <c r="P630" s="73">
        <f t="shared" si="1003"/>
        <v>0</v>
      </c>
      <c r="Q630" s="62">
        <f t="shared" si="954"/>
        <v>0</v>
      </c>
      <c r="R630" s="69">
        <f t="shared" si="997"/>
        <v>0</v>
      </c>
      <c r="S630" s="70">
        <f t="shared" si="1004"/>
        <v>1</v>
      </c>
      <c r="T630" s="69"/>
      <c r="U630" s="68">
        <f t="shared" si="1005"/>
        <v>0</v>
      </c>
      <c r="V630" s="62">
        <f t="shared" si="913"/>
        <v>0</v>
      </c>
      <c r="W630" s="69">
        <f t="shared" si="998"/>
        <v>0</v>
      </c>
      <c r="X630" s="70">
        <f t="shared" si="1006"/>
        <v>1</v>
      </c>
      <c r="Y630" s="69">
        <v>100</v>
      </c>
      <c r="Z630" s="68">
        <f t="shared" si="1007"/>
        <v>1967.1</v>
      </c>
      <c r="AA630" s="68">
        <f t="shared" si="915"/>
        <v>0</v>
      </c>
      <c r="AB630" s="69">
        <f t="shared" si="995"/>
        <v>0</v>
      </c>
      <c r="AC630" s="70">
        <f t="shared" si="1008"/>
        <v>1</v>
      </c>
      <c r="AD630" s="69"/>
      <c r="AE630" s="68">
        <f>AD630*I630</f>
        <v>0</v>
      </c>
      <c r="AF630" s="68">
        <f>F630-AE630</f>
        <v>1967.1</v>
      </c>
      <c r="AG630" s="69">
        <f>G630-AD630</f>
        <v>100</v>
      </c>
      <c r="AH630" s="70">
        <f t="shared" si="1009"/>
        <v>0</v>
      </c>
    </row>
    <row r="631" spans="1:34" outlineLevel="2" x14ac:dyDescent="0.25">
      <c r="B631" s="71">
        <v>2156</v>
      </c>
      <c r="C631" s="56" t="s">
        <v>82</v>
      </c>
      <c r="E631" s="73">
        <v>1139.05</v>
      </c>
      <c r="F631" s="74">
        <f t="shared" si="1010"/>
        <v>1293.78</v>
      </c>
      <c r="G631" s="75">
        <v>600</v>
      </c>
      <c r="H631" s="56" t="s">
        <v>41</v>
      </c>
      <c r="I631" s="73">
        <f t="shared" si="959"/>
        <v>2.1562999999999999</v>
      </c>
      <c r="K631" s="73">
        <f t="shared" si="1001"/>
        <v>0</v>
      </c>
      <c r="L631" s="62">
        <f t="shared" si="952"/>
        <v>-1293.78</v>
      </c>
      <c r="M631" s="69">
        <f t="shared" si="996"/>
        <v>-600</v>
      </c>
      <c r="P631" s="73">
        <f t="shared" si="1003"/>
        <v>0</v>
      </c>
      <c r="Q631" s="62">
        <f t="shared" si="954"/>
        <v>-1293.78</v>
      </c>
      <c r="R631" s="69">
        <f t="shared" si="997"/>
        <v>-600</v>
      </c>
      <c r="U631" s="68">
        <f t="shared" si="1005"/>
        <v>0</v>
      </c>
      <c r="V631" s="62">
        <f t="shared" si="913"/>
        <v>-1293.78</v>
      </c>
      <c r="W631" s="69">
        <f t="shared" si="998"/>
        <v>-600</v>
      </c>
      <c r="Y631" s="75">
        <v>600</v>
      </c>
      <c r="Z631" s="68">
        <f t="shared" si="1007"/>
        <v>1293.78</v>
      </c>
      <c r="AA631" s="68">
        <f t="shared" si="915"/>
        <v>-1293.78</v>
      </c>
      <c r="AB631" s="69">
        <f t="shared" si="995"/>
        <v>-600</v>
      </c>
      <c r="AD631" s="75">
        <f>$AD$630*G631/$G$630</f>
        <v>0</v>
      </c>
    </row>
    <row r="632" spans="1:34" outlineLevel="2" x14ac:dyDescent="0.25">
      <c r="B632" s="71">
        <v>2183</v>
      </c>
      <c r="C632" s="56" t="s">
        <v>80</v>
      </c>
      <c r="E632" s="73">
        <v>414.75</v>
      </c>
      <c r="F632" s="74">
        <f t="shared" si="1010"/>
        <v>471.09</v>
      </c>
      <c r="G632" s="75">
        <v>21</v>
      </c>
      <c r="H632" s="56" t="s">
        <v>43</v>
      </c>
      <c r="I632" s="73">
        <f t="shared" si="959"/>
        <v>22.432857142857141</v>
      </c>
      <c r="K632" s="73">
        <f t="shared" si="1001"/>
        <v>0</v>
      </c>
      <c r="L632" s="62">
        <f t="shared" si="952"/>
        <v>-471.09</v>
      </c>
      <c r="M632" s="69">
        <f t="shared" si="996"/>
        <v>-21</v>
      </c>
      <c r="P632" s="73">
        <f t="shared" si="1003"/>
        <v>0</v>
      </c>
      <c r="Q632" s="62">
        <f t="shared" si="954"/>
        <v>-471.09</v>
      </c>
      <c r="R632" s="69">
        <f t="shared" si="997"/>
        <v>-21</v>
      </c>
      <c r="U632" s="68">
        <f t="shared" si="1005"/>
        <v>0</v>
      </c>
      <c r="V632" s="62">
        <f t="shared" si="913"/>
        <v>-471.09</v>
      </c>
      <c r="W632" s="69">
        <f t="shared" si="998"/>
        <v>-21</v>
      </c>
      <c r="Y632" s="75">
        <v>21</v>
      </c>
      <c r="Z632" s="68">
        <f t="shared" si="1007"/>
        <v>471.09</v>
      </c>
      <c r="AA632" s="68">
        <f t="shared" si="915"/>
        <v>-471.09</v>
      </c>
      <c r="AB632" s="69">
        <f t="shared" si="995"/>
        <v>-21</v>
      </c>
      <c r="AD632" s="75">
        <f>$AD$630*G632/$G$630</f>
        <v>0</v>
      </c>
    </row>
    <row r="633" spans="1:34" outlineLevel="2" x14ac:dyDescent="0.25">
      <c r="B633" s="71">
        <v>2149</v>
      </c>
      <c r="C633" s="56" t="s">
        <v>48</v>
      </c>
      <c r="E633" s="73">
        <v>178.04</v>
      </c>
      <c r="F633" s="74">
        <f t="shared" si="1010"/>
        <v>202.22</v>
      </c>
      <c r="G633" s="75">
        <v>21</v>
      </c>
      <c r="H633" s="56" t="s">
        <v>43</v>
      </c>
      <c r="I633" s="73">
        <f t="shared" si="959"/>
        <v>9.6295238095238087</v>
      </c>
      <c r="K633" s="73">
        <f t="shared" si="1001"/>
        <v>0</v>
      </c>
      <c r="L633" s="62">
        <f t="shared" si="952"/>
        <v>-202.21999999999997</v>
      </c>
      <c r="M633" s="69">
        <f t="shared" si="996"/>
        <v>-21</v>
      </c>
      <c r="P633" s="73">
        <f t="shared" si="1003"/>
        <v>0</v>
      </c>
      <c r="Q633" s="62">
        <f t="shared" si="954"/>
        <v>-202.21999999999997</v>
      </c>
      <c r="R633" s="69">
        <f t="shared" si="997"/>
        <v>-21</v>
      </c>
      <c r="U633" s="68">
        <f t="shared" si="1005"/>
        <v>0</v>
      </c>
      <c r="V633" s="62">
        <f t="shared" si="913"/>
        <v>-202.21999999999997</v>
      </c>
      <c r="W633" s="69">
        <f t="shared" si="998"/>
        <v>-21</v>
      </c>
      <c r="Y633" s="75">
        <v>21</v>
      </c>
      <c r="Z633" s="68">
        <f t="shared" si="1007"/>
        <v>202.21999999999997</v>
      </c>
      <c r="AA633" s="68">
        <f t="shared" si="915"/>
        <v>-202.21999999999997</v>
      </c>
      <c r="AB633" s="69">
        <f t="shared" si="995"/>
        <v>-21</v>
      </c>
      <c r="AD633" s="75">
        <f>$AD$630*G633/$G$630</f>
        <v>0</v>
      </c>
    </row>
    <row r="634" spans="1:34" outlineLevel="1" x14ac:dyDescent="0.25">
      <c r="A634" s="67"/>
      <c r="B634" s="66">
        <v>7875</v>
      </c>
      <c r="C634" s="67" t="s">
        <v>328</v>
      </c>
      <c r="D634" s="68"/>
      <c r="E634" s="68">
        <v>51175</v>
      </c>
      <c r="F634" s="68">
        <f t="shared" si="1010"/>
        <v>58126.62</v>
      </c>
      <c r="G634" s="69">
        <v>1</v>
      </c>
      <c r="H634" s="67" t="s">
        <v>34</v>
      </c>
      <c r="I634" s="68">
        <f t="shared" si="959"/>
        <v>58126.62</v>
      </c>
      <c r="J634" s="69"/>
      <c r="K634" s="73">
        <f t="shared" si="1001"/>
        <v>0</v>
      </c>
      <c r="L634" s="62">
        <f t="shared" si="952"/>
        <v>0</v>
      </c>
      <c r="M634" s="69">
        <f t="shared" si="996"/>
        <v>0</v>
      </c>
      <c r="N634" s="70">
        <f t="shared" ref="N634" si="1011">100%-(L634/$F634)</f>
        <v>1</v>
      </c>
      <c r="O634" s="69"/>
      <c r="P634" s="73">
        <f t="shared" si="1003"/>
        <v>0</v>
      </c>
      <c r="Q634" s="62">
        <f t="shared" si="954"/>
        <v>0</v>
      </c>
      <c r="R634" s="69">
        <f t="shared" si="997"/>
        <v>0</v>
      </c>
      <c r="S634" s="70">
        <f t="shared" ref="S634" si="1012">100%-(Q634/$F634)</f>
        <v>1</v>
      </c>
      <c r="T634" s="69"/>
      <c r="U634" s="68">
        <f t="shared" si="1005"/>
        <v>0</v>
      </c>
      <c r="V634" s="62">
        <f t="shared" si="913"/>
        <v>0</v>
      </c>
      <c r="W634" s="69">
        <f t="shared" si="998"/>
        <v>0</v>
      </c>
      <c r="X634" s="70">
        <f t="shared" ref="X634" si="1013">100%-(V634/$F634)</f>
        <v>1</v>
      </c>
      <c r="Y634" s="69">
        <v>1</v>
      </c>
      <c r="Z634" s="68">
        <f t="shared" si="1007"/>
        <v>58126.62</v>
      </c>
      <c r="AA634" s="68">
        <f t="shared" si="915"/>
        <v>0</v>
      </c>
      <c r="AB634" s="69">
        <f t="shared" si="995"/>
        <v>0</v>
      </c>
      <c r="AC634" s="70">
        <f t="shared" ref="AC634" si="1014">100%-(AA634/$F634)</f>
        <v>1</v>
      </c>
      <c r="AD634" s="69"/>
      <c r="AE634" s="68">
        <f>AD634*I634</f>
        <v>0</v>
      </c>
      <c r="AF634" s="68">
        <f>F634-AE634</f>
        <v>58126.62</v>
      </c>
      <c r="AG634" s="69">
        <f>G634-AD634</f>
        <v>1</v>
      </c>
      <c r="AH634" s="70">
        <f t="shared" ref="AH634" si="1015">100%-(AF634/$F634)</f>
        <v>0</v>
      </c>
    </row>
    <row r="635" spans="1:34" x14ac:dyDescent="0.25">
      <c r="A635" s="60">
        <v>15</v>
      </c>
      <c r="B635" s="60"/>
      <c r="C635" s="61" t="s">
        <v>329</v>
      </c>
      <c r="D635" s="62">
        <f>_xlfn.XLOOKUP(A635,SOV!$A$9:$A$27,SOV!$C$9:$C$27)</f>
        <v>24700</v>
      </c>
      <c r="E635" s="62">
        <v>18826.439999999999</v>
      </c>
      <c r="F635" s="62"/>
      <c r="G635" s="63"/>
      <c r="H635" s="64"/>
      <c r="I635" s="62"/>
      <c r="J635" s="63"/>
      <c r="K635" s="62">
        <f>SUM(K636:K637)</f>
        <v>0</v>
      </c>
      <c r="L635" s="62">
        <f t="shared" si="952"/>
        <v>24700</v>
      </c>
      <c r="M635" s="69">
        <f t="shared" si="996"/>
        <v>0</v>
      </c>
      <c r="N635" s="65"/>
      <c r="O635" s="63"/>
      <c r="P635" s="62">
        <f>SUM(P636:P637)</f>
        <v>0</v>
      </c>
      <c r="Q635" s="62">
        <f t="shared" si="954"/>
        <v>24700</v>
      </c>
      <c r="R635" s="69">
        <f t="shared" si="997"/>
        <v>0</v>
      </c>
      <c r="S635" s="65"/>
      <c r="T635" s="63"/>
      <c r="U635" s="62">
        <f>SUM(U636:U637)</f>
        <v>0</v>
      </c>
      <c r="V635" s="62">
        <f t="shared" si="913"/>
        <v>24700</v>
      </c>
      <c r="W635" s="69">
        <f t="shared" si="998"/>
        <v>0</v>
      </c>
      <c r="X635" s="65"/>
      <c r="Y635" s="63"/>
      <c r="Z635" s="62">
        <f>SUM(Z636:Z637)</f>
        <v>0</v>
      </c>
      <c r="AA635" s="68">
        <f t="shared" si="915"/>
        <v>24700</v>
      </c>
      <c r="AB635" s="69">
        <f t="shared" si="995"/>
        <v>0</v>
      </c>
      <c r="AC635" s="65"/>
      <c r="AD635" s="63"/>
      <c r="AE635" s="62">
        <f>SUM(AE636:AE637)</f>
        <v>0</v>
      </c>
      <c r="AF635" s="62">
        <f>SUM(AF636:AF637)</f>
        <v>24700</v>
      </c>
      <c r="AG635" s="63"/>
      <c r="AH635" s="65"/>
    </row>
    <row r="636" spans="1:34" outlineLevel="1" x14ac:dyDescent="0.25">
      <c r="A636" s="67"/>
      <c r="B636" s="66">
        <v>3250</v>
      </c>
      <c r="C636" s="67" t="s">
        <v>341</v>
      </c>
      <c r="D636" s="68"/>
      <c r="E636" s="68">
        <v>16537.439999999999</v>
      </c>
      <c r="F636" s="68">
        <f>$D$635/$E$635*E636</f>
        <v>21696.867171913542</v>
      </c>
      <c r="G636" s="69">
        <v>406</v>
      </c>
      <c r="H636" s="67" t="s">
        <v>41</v>
      </c>
      <c r="I636" s="68">
        <f t="shared" si="959"/>
        <v>53.440559536732863</v>
      </c>
      <c r="J636" s="69"/>
      <c r="K636" s="73">
        <f>+J636*$I636</f>
        <v>0</v>
      </c>
      <c r="L636" s="62">
        <f t="shared" si="952"/>
        <v>21696.867171913542</v>
      </c>
      <c r="M636" s="69">
        <f t="shared" si="996"/>
        <v>406</v>
      </c>
      <c r="N636" s="70">
        <f t="shared" ref="N636:N637" si="1016">100%-(L636/$F636)</f>
        <v>0</v>
      </c>
      <c r="O636" s="69"/>
      <c r="P636" s="73">
        <f t="shared" ref="P636:P637" si="1017">+O636*I636</f>
        <v>0</v>
      </c>
      <c r="Q636" s="62">
        <f t="shared" si="954"/>
        <v>21696.867171913542</v>
      </c>
      <c r="R636" s="69">
        <f t="shared" si="997"/>
        <v>406</v>
      </c>
      <c r="S636" s="70">
        <f t="shared" ref="S636:S637" si="1018">100%-(Q636/$F636)</f>
        <v>0</v>
      </c>
      <c r="T636" s="69"/>
      <c r="U636" s="68">
        <f>+T636*D636</f>
        <v>0</v>
      </c>
      <c r="V636" s="62">
        <f t="shared" si="913"/>
        <v>21696.867171913542</v>
      </c>
      <c r="W636" s="69">
        <f t="shared" si="998"/>
        <v>406</v>
      </c>
      <c r="X636" s="70">
        <f t="shared" ref="X636:X637" si="1019">100%-(V636/$F636)</f>
        <v>0</v>
      </c>
      <c r="Y636" s="69"/>
      <c r="Z636" s="68">
        <f>+Y636*I636</f>
        <v>0</v>
      </c>
      <c r="AA636" s="68">
        <f t="shared" si="915"/>
        <v>21696.867171913542</v>
      </c>
      <c r="AB636" s="69">
        <f t="shared" si="995"/>
        <v>406</v>
      </c>
      <c r="AC636" s="70">
        <f t="shared" ref="AC636:AC637" si="1020">100%-(AA636/$F636)</f>
        <v>0</v>
      </c>
      <c r="AD636" s="69"/>
      <c r="AE636" s="68">
        <f>AD636*I636</f>
        <v>0</v>
      </c>
      <c r="AF636" s="68">
        <f>F636-AE636</f>
        <v>21696.867171913542</v>
      </c>
      <c r="AG636" s="69">
        <f>G636-AD636</f>
        <v>406</v>
      </c>
      <c r="AH636" s="70">
        <f t="shared" ref="AH636:AH637" si="1021">100%-(AF636/$F636)</f>
        <v>0</v>
      </c>
    </row>
    <row r="637" spans="1:34" outlineLevel="1" x14ac:dyDescent="0.25">
      <c r="A637" s="67"/>
      <c r="B637" s="66">
        <v>3254</v>
      </c>
      <c r="C637" s="67" t="s">
        <v>84</v>
      </c>
      <c r="D637" s="68"/>
      <c r="E637" s="68">
        <v>2289</v>
      </c>
      <c r="F637" s="68">
        <f>$D$635/$E$635*E637</f>
        <v>3003.1328280864573</v>
      </c>
      <c r="G637" s="69">
        <v>450</v>
      </c>
      <c r="H637" s="67" t="s">
        <v>41</v>
      </c>
      <c r="I637" s="68">
        <f t="shared" si="959"/>
        <v>6.6736285068587939</v>
      </c>
      <c r="J637" s="69"/>
      <c r="K637" s="73">
        <f>+J637*$I637</f>
        <v>0</v>
      </c>
      <c r="L637" s="62">
        <f t="shared" si="952"/>
        <v>3003.1328280864573</v>
      </c>
      <c r="M637" s="69">
        <f t="shared" si="996"/>
        <v>450</v>
      </c>
      <c r="N637" s="70">
        <f t="shared" si="1016"/>
        <v>0</v>
      </c>
      <c r="O637" s="69"/>
      <c r="P637" s="73">
        <f t="shared" si="1017"/>
        <v>0</v>
      </c>
      <c r="Q637" s="62">
        <f t="shared" si="954"/>
        <v>3003.1328280864573</v>
      </c>
      <c r="R637" s="69">
        <f t="shared" si="997"/>
        <v>450</v>
      </c>
      <c r="S637" s="70">
        <f t="shared" si="1018"/>
        <v>0</v>
      </c>
      <c r="T637" s="69"/>
      <c r="U637" s="68">
        <f>+T637*D637</f>
        <v>0</v>
      </c>
      <c r="V637" s="62">
        <f t="shared" si="913"/>
        <v>3003.1328280864573</v>
      </c>
      <c r="W637" s="69">
        <f t="shared" si="998"/>
        <v>450</v>
      </c>
      <c r="X637" s="70">
        <f t="shared" si="1019"/>
        <v>0</v>
      </c>
      <c r="Y637" s="69"/>
      <c r="Z637" s="68">
        <f>+Y637*I637</f>
        <v>0</v>
      </c>
      <c r="AA637" s="68">
        <f t="shared" si="915"/>
        <v>3003.1328280864573</v>
      </c>
      <c r="AB637" s="69">
        <f t="shared" si="995"/>
        <v>450</v>
      </c>
      <c r="AC637" s="70">
        <f t="shared" si="1020"/>
        <v>0</v>
      </c>
      <c r="AD637" s="69"/>
      <c r="AE637" s="68">
        <f>AD637*I637</f>
        <v>0</v>
      </c>
      <c r="AF637" s="68">
        <f>F637-AE637</f>
        <v>3003.1328280864573</v>
      </c>
      <c r="AG637" s="69">
        <f>G637-AD637</f>
        <v>450</v>
      </c>
      <c r="AH637" s="70">
        <f t="shared" si="1021"/>
        <v>0</v>
      </c>
    </row>
    <row r="638" spans="1:34" x14ac:dyDescent="0.25">
      <c r="A638" s="60">
        <v>16</v>
      </c>
      <c r="B638" s="60"/>
      <c r="C638" s="61" t="s">
        <v>331</v>
      </c>
      <c r="D638" s="62">
        <f>_xlfn.XLOOKUP(A638,SOV!$A$9:$A$27,SOV!$C$9:$C$27)</f>
        <v>63000</v>
      </c>
      <c r="E638" s="62">
        <v>48008.81</v>
      </c>
      <c r="F638" s="62"/>
      <c r="G638" s="63"/>
      <c r="H638" s="64"/>
      <c r="I638" s="62"/>
      <c r="J638" s="63"/>
      <c r="K638" s="62">
        <f>SUM(K639,K640,K641,K642)</f>
        <v>0</v>
      </c>
      <c r="L638" s="62">
        <f t="shared" si="952"/>
        <v>63000</v>
      </c>
      <c r="M638" s="69">
        <f t="shared" si="996"/>
        <v>0</v>
      </c>
      <c r="N638" s="65"/>
      <c r="O638" s="63"/>
      <c r="P638" s="62">
        <f>SUM(P639,P640,P641,P642)</f>
        <v>0</v>
      </c>
      <c r="Q638" s="62">
        <f t="shared" si="954"/>
        <v>63000</v>
      </c>
      <c r="R638" s="69">
        <f t="shared" si="997"/>
        <v>0</v>
      </c>
      <c r="S638" s="65"/>
      <c r="T638" s="63"/>
      <c r="U638" s="62">
        <f>SUM(U639,U640,U641,U642)</f>
        <v>0</v>
      </c>
      <c r="V638" s="62">
        <f t="shared" si="913"/>
        <v>63000</v>
      </c>
      <c r="W638" s="69">
        <f t="shared" si="998"/>
        <v>0</v>
      </c>
      <c r="X638" s="65"/>
      <c r="Y638" s="63"/>
      <c r="Z638" s="62">
        <f>SUM(Z639,Z640,Z641,Z642)</f>
        <v>0</v>
      </c>
      <c r="AA638" s="68">
        <f t="shared" si="915"/>
        <v>63000</v>
      </c>
      <c r="AB638" s="69">
        <f t="shared" si="995"/>
        <v>0</v>
      </c>
      <c r="AC638" s="65"/>
      <c r="AD638" s="63"/>
      <c r="AE638" s="62">
        <f>SUM(AE639,AE640,AE641,AE642)</f>
        <v>0</v>
      </c>
      <c r="AF638" s="62">
        <f>SUM(AF639,AF640,AF641,AF642)</f>
        <v>63000</v>
      </c>
      <c r="AG638" s="63"/>
      <c r="AH638" s="65"/>
    </row>
    <row r="639" spans="1:34" outlineLevel="1" x14ac:dyDescent="0.25">
      <c r="A639" s="67"/>
      <c r="B639" s="66">
        <v>2105</v>
      </c>
      <c r="C639" s="67" t="s">
        <v>49</v>
      </c>
      <c r="D639" s="68"/>
      <c r="E639" s="68">
        <v>5003.99</v>
      </c>
      <c r="F639" s="68">
        <f>$D$638/$E$638*E639</f>
        <v>6566.5316428380538</v>
      </c>
      <c r="G639" s="69">
        <v>4</v>
      </c>
      <c r="H639" s="67" t="s">
        <v>39</v>
      </c>
      <c r="I639" s="68">
        <f t="shared" si="959"/>
        <v>1641.6329107095135</v>
      </c>
      <c r="J639" s="69"/>
      <c r="K639" s="73">
        <f t="shared" ref="K639:K642" si="1022">+J639*$I639</f>
        <v>0</v>
      </c>
      <c r="L639" s="62">
        <f t="shared" si="952"/>
        <v>6566.5316428380538</v>
      </c>
      <c r="M639" s="69">
        <f t="shared" si="996"/>
        <v>4</v>
      </c>
      <c r="N639" s="70">
        <f t="shared" ref="N639:N642" si="1023">100%-(L639/$F639)</f>
        <v>0</v>
      </c>
      <c r="O639" s="69"/>
      <c r="P639" s="73">
        <f t="shared" ref="P639:P642" si="1024">+O639*I639</f>
        <v>0</v>
      </c>
      <c r="Q639" s="62">
        <f t="shared" si="954"/>
        <v>6566.5316428380538</v>
      </c>
      <c r="R639" s="69">
        <f t="shared" si="997"/>
        <v>4</v>
      </c>
      <c r="S639" s="70">
        <f t="shared" ref="S639:S642" si="1025">100%-(Q639/$F639)</f>
        <v>0</v>
      </c>
      <c r="T639" s="69"/>
      <c r="U639" s="68">
        <f>+T639*D639</f>
        <v>0</v>
      </c>
      <c r="V639" s="62">
        <f t="shared" si="913"/>
        <v>6566.5316428380538</v>
      </c>
      <c r="W639" s="69">
        <f t="shared" si="998"/>
        <v>4</v>
      </c>
      <c r="X639" s="70">
        <f t="shared" ref="X639:X642" si="1026">100%-(V639/$F639)</f>
        <v>0</v>
      </c>
      <c r="Y639" s="69"/>
      <c r="Z639" s="68">
        <f>+Y639*I639</f>
        <v>0</v>
      </c>
      <c r="AA639" s="68">
        <f t="shared" si="915"/>
        <v>6566.5316428380538</v>
      </c>
      <c r="AB639" s="69">
        <f t="shared" si="995"/>
        <v>4</v>
      </c>
      <c r="AC639" s="70">
        <f t="shared" ref="AC639:AC642" si="1027">100%-(AA639/$F639)</f>
        <v>0</v>
      </c>
      <c r="AD639" s="69"/>
      <c r="AE639" s="68">
        <f>AD639*I639</f>
        <v>0</v>
      </c>
      <c r="AF639" s="68">
        <f>F639-AE639</f>
        <v>6566.5316428380538</v>
      </c>
      <c r="AG639" s="69">
        <f>G639-AD639</f>
        <v>4</v>
      </c>
      <c r="AH639" s="70">
        <f t="shared" ref="AH639:AH642" si="1028">100%-(AF639/$F639)</f>
        <v>0</v>
      </c>
    </row>
    <row r="640" spans="1:34" outlineLevel="1" x14ac:dyDescent="0.25">
      <c r="A640" s="67"/>
      <c r="B640" s="66">
        <v>3130</v>
      </c>
      <c r="C640" s="67" t="s">
        <v>333</v>
      </c>
      <c r="D640" s="68"/>
      <c r="E640" s="68">
        <v>11723.72</v>
      </c>
      <c r="F640" s="68">
        <f>$D$638/$E$638*E640</f>
        <v>15384.558792438303</v>
      </c>
      <c r="G640" s="69">
        <v>4</v>
      </c>
      <c r="H640" s="67" t="s">
        <v>39</v>
      </c>
      <c r="I640" s="68">
        <f t="shared" si="959"/>
        <v>3846.1396981095759</v>
      </c>
      <c r="J640" s="69"/>
      <c r="K640" s="73">
        <f t="shared" si="1022"/>
        <v>0</v>
      </c>
      <c r="L640" s="62">
        <f t="shared" si="952"/>
        <v>15384.558792438303</v>
      </c>
      <c r="M640" s="69">
        <f t="shared" si="996"/>
        <v>4</v>
      </c>
      <c r="N640" s="70">
        <f t="shared" si="1023"/>
        <v>0</v>
      </c>
      <c r="O640" s="69"/>
      <c r="P640" s="73">
        <f t="shared" si="1024"/>
        <v>0</v>
      </c>
      <c r="Q640" s="62">
        <f t="shared" si="954"/>
        <v>15384.558792438303</v>
      </c>
      <c r="R640" s="69">
        <f t="shared" si="997"/>
        <v>4</v>
      </c>
      <c r="S640" s="70">
        <f t="shared" si="1025"/>
        <v>0</v>
      </c>
      <c r="T640" s="69"/>
      <c r="U640" s="68">
        <f>+T640*D640</f>
        <v>0</v>
      </c>
      <c r="V640" s="62">
        <f t="shared" si="913"/>
        <v>15384.558792438303</v>
      </c>
      <c r="W640" s="69">
        <f t="shared" si="998"/>
        <v>4</v>
      </c>
      <c r="X640" s="70">
        <f t="shared" si="1026"/>
        <v>0</v>
      </c>
      <c r="Y640" s="69"/>
      <c r="Z640" s="68">
        <f>+Y640*I640</f>
        <v>0</v>
      </c>
      <c r="AA640" s="68">
        <f t="shared" si="915"/>
        <v>15384.558792438303</v>
      </c>
      <c r="AB640" s="69">
        <f t="shared" si="995"/>
        <v>4</v>
      </c>
      <c r="AC640" s="70">
        <f t="shared" si="1027"/>
        <v>0</v>
      </c>
      <c r="AD640" s="69"/>
      <c r="AE640" s="68">
        <f>AD640*I640</f>
        <v>0</v>
      </c>
      <c r="AF640" s="68">
        <f>F640-AE640</f>
        <v>15384.558792438303</v>
      </c>
      <c r="AG640" s="69">
        <f>G640-AD640</f>
        <v>4</v>
      </c>
      <c r="AH640" s="70">
        <f t="shared" si="1028"/>
        <v>0</v>
      </c>
    </row>
    <row r="641" spans="1:34" outlineLevel="1" x14ac:dyDescent="0.25">
      <c r="A641" s="67"/>
      <c r="B641" s="66">
        <v>2705</v>
      </c>
      <c r="C641" s="67" t="s">
        <v>274</v>
      </c>
      <c r="D641" s="68"/>
      <c r="E641" s="68">
        <v>5353.9</v>
      </c>
      <c r="F641" s="68">
        <f>$D$638/$E$638*E641</f>
        <v>7025.7042405341845</v>
      </c>
      <c r="G641" s="69">
        <v>1</v>
      </c>
      <c r="H641" s="67" t="s">
        <v>34</v>
      </c>
      <c r="I641" s="68">
        <f t="shared" si="959"/>
        <v>7025.7042405341845</v>
      </c>
      <c r="J641" s="69"/>
      <c r="K641" s="73">
        <f t="shared" si="1022"/>
        <v>0</v>
      </c>
      <c r="L641" s="62">
        <f t="shared" si="952"/>
        <v>7025.7042405341845</v>
      </c>
      <c r="M641" s="69">
        <f t="shared" si="996"/>
        <v>1</v>
      </c>
      <c r="N641" s="70">
        <f t="shared" si="1023"/>
        <v>0</v>
      </c>
      <c r="O641" s="69"/>
      <c r="P641" s="73">
        <f t="shared" si="1024"/>
        <v>0</v>
      </c>
      <c r="Q641" s="62">
        <f t="shared" si="954"/>
        <v>7025.7042405341845</v>
      </c>
      <c r="R641" s="69">
        <f t="shared" si="997"/>
        <v>1</v>
      </c>
      <c r="S641" s="70">
        <f t="shared" si="1025"/>
        <v>0</v>
      </c>
      <c r="T641" s="69"/>
      <c r="U641" s="68">
        <f>+T641*D641</f>
        <v>0</v>
      </c>
      <c r="V641" s="62">
        <f t="shared" si="913"/>
        <v>7025.7042405341845</v>
      </c>
      <c r="W641" s="69">
        <f t="shared" si="998"/>
        <v>1</v>
      </c>
      <c r="X641" s="70">
        <f t="shared" si="1026"/>
        <v>0</v>
      </c>
      <c r="Y641" s="69"/>
      <c r="Z641" s="68">
        <f>+Y641*I641</f>
        <v>0</v>
      </c>
      <c r="AA641" s="68">
        <f t="shared" si="915"/>
        <v>7025.7042405341845</v>
      </c>
      <c r="AB641" s="69">
        <f t="shared" si="995"/>
        <v>1</v>
      </c>
      <c r="AC641" s="70">
        <f t="shared" si="1027"/>
        <v>0</v>
      </c>
      <c r="AD641" s="69"/>
      <c r="AE641" s="68">
        <f>AD641*I641</f>
        <v>0</v>
      </c>
      <c r="AF641" s="68">
        <f>F641-AE641</f>
        <v>7025.7042405341845</v>
      </c>
      <c r="AG641" s="69">
        <f>G641-AD641</f>
        <v>1</v>
      </c>
      <c r="AH641" s="70">
        <f t="shared" si="1028"/>
        <v>0</v>
      </c>
    </row>
    <row r="642" spans="1:34" outlineLevel="1" x14ac:dyDescent="0.25">
      <c r="A642" s="67"/>
      <c r="B642" s="66">
        <v>2700</v>
      </c>
      <c r="C642" s="67" t="s">
        <v>277</v>
      </c>
      <c r="D642" s="68"/>
      <c r="E642" s="68">
        <v>25927.200000000001</v>
      </c>
      <c r="F642" s="68">
        <f>$D$638/$E$638*E642</f>
        <v>34023.205324189454</v>
      </c>
      <c r="G642" s="69">
        <v>1</v>
      </c>
      <c r="H642" s="67" t="s">
        <v>34</v>
      </c>
      <c r="I642" s="68">
        <f t="shared" si="959"/>
        <v>34023.205324189454</v>
      </c>
      <c r="J642" s="69"/>
      <c r="K642" s="73">
        <f t="shared" si="1022"/>
        <v>0</v>
      </c>
      <c r="L642" s="62">
        <f t="shared" si="952"/>
        <v>34023.205324189454</v>
      </c>
      <c r="M642" s="69">
        <f t="shared" si="996"/>
        <v>1</v>
      </c>
      <c r="N642" s="70">
        <f t="shared" si="1023"/>
        <v>0</v>
      </c>
      <c r="O642" s="69"/>
      <c r="P642" s="73">
        <f t="shared" si="1024"/>
        <v>0</v>
      </c>
      <c r="Q642" s="62">
        <f t="shared" si="954"/>
        <v>34023.205324189454</v>
      </c>
      <c r="R642" s="69">
        <f t="shared" si="997"/>
        <v>1</v>
      </c>
      <c r="S642" s="70">
        <f t="shared" si="1025"/>
        <v>0</v>
      </c>
      <c r="T642" s="69"/>
      <c r="U642" s="68">
        <f>+T642*D642</f>
        <v>0</v>
      </c>
      <c r="V642" s="62">
        <f t="shared" si="913"/>
        <v>34023.205324189454</v>
      </c>
      <c r="W642" s="69">
        <f t="shared" si="998"/>
        <v>1</v>
      </c>
      <c r="X642" s="70">
        <f t="shared" si="1026"/>
        <v>0</v>
      </c>
      <c r="Y642" s="69"/>
      <c r="Z642" s="68">
        <f>+Y642*I642</f>
        <v>0</v>
      </c>
      <c r="AA642" s="68">
        <f t="shared" si="915"/>
        <v>34023.205324189454</v>
      </c>
      <c r="AB642" s="69">
        <f t="shared" si="995"/>
        <v>1</v>
      </c>
      <c r="AC642" s="70">
        <f t="shared" si="1027"/>
        <v>0</v>
      </c>
      <c r="AD642" s="69"/>
      <c r="AE642" s="68">
        <f>AD642*I642</f>
        <v>0</v>
      </c>
      <c r="AF642" s="68">
        <f>F642-AE642</f>
        <v>34023.205324189454</v>
      </c>
      <c r="AG642" s="69">
        <f>G642-AD642</f>
        <v>1</v>
      </c>
      <c r="AH642" s="70">
        <f t="shared" si="1028"/>
        <v>0</v>
      </c>
    </row>
    <row r="643" spans="1:34" x14ac:dyDescent="0.25">
      <c r="A643" s="60">
        <v>17</v>
      </c>
      <c r="B643" s="60"/>
      <c r="C643" s="61" t="s">
        <v>334</v>
      </c>
      <c r="D643" s="62">
        <f>_xlfn.XLOOKUP(A643,SOV!$A$9:$A$27,SOV!$C$9:$C$27)</f>
        <v>65000</v>
      </c>
      <c r="E643" s="62">
        <v>50561.79</v>
      </c>
      <c r="F643" s="62"/>
      <c r="G643" s="63"/>
      <c r="H643" s="64"/>
      <c r="I643" s="62"/>
      <c r="J643" s="63"/>
      <c r="K643" s="62">
        <f>SUM(K644:K647)</f>
        <v>0</v>
      </c>
      <c r="L643" s="62">
        <f t="shared" si="952"/>
        <v>65000</v>
      </c>
      <c r="M643" s="69">
        <f t="shared" si="996"/>
        <v>0</v>
      </c>
      <c r="N643" s="65"/>
      <c r="O643" s="63"/>
      <c r="P643" s="62">
        <f>SUM(P644:P647)</f>
        <v>0</v>
      </c>
      <c r="Q643" s="62">
        <f t="shared" si="954"/>
        <v>65000</v>
      </c>
      <c r="R643" s="69">
        <f t="shared" si="997"/>
        <v>0</v>
      </c>
      <c r="S643" s="65"/>
      <c r="T643" s="63"/>
      <c r="U643" s="62">
        <f>SUM(U644:U647)</f>
        <v>0</v>
      </c>
      <c r="V643" s="62">
        <f t="shared" si="913"/>
        <v>65000</v>
      </c>
      <c r="W643" s="69">
        <f t="shared" si="998"/>
        <v>0</v>
      </c>
      <c r="X643" s="65"/>
      <c r="Y643" s="63"/>
      <c r="Z643" s="62">
        <f>SUM(Z644:Z647)</f>
        <v>0</v>
      </c>
      <c r="AA643" s="68">
        <f t="shared" si="915"/>
        <v>65000</v>
      </c>
      <c r="AB643" s="69">
        <f t="shared" si="995"/>
        <v>0</v>
      </c>
      <c r="AC643" s="65"/>
      <c r="AD643" s="63"/>
      <c r="AE643" s="62">
        <f>SUM(AE644:AE647)</f>
        <v>0</v>
      </c>
      <c r="AF643" s="62">
        <f>SUM(AF644:AF647)</f>
        <v>65000</v>
      </c>
      <c r="AG643" s="63"/>
      <c r="AH643" s="65"/>
    </row>
    <row r="644" spans="1:34" outlineLevel="1" x14ac:dyDescent="0.25">
      <c r="A644" s="67"/>
      <c r="B644" s="66">
        <v>2105</v>
      </c>
      <c r="C644" s="67" t="s">
        <v>49</v>
      </c>
      <c r="D644" s="68"/>
      <c r="E644" s="68">
        <v>5003.99</v>
      </c>
      <c r="F644" s="68">
        <f>$D$643/$E$643*E644</f>
        <v>6432.908130823691</v>
      </c>
      <c r="G644" s="69">
        <v>4</v>
      </c>
      <c r="H644" s="67" t="s">
        <v>39</v>
      </c>
      <c r="I644" s="68">
        <f t="shared" si="959"/>
        <v>1608.2270327059227</v>
      </c>
      <c r="J644" s="69"/>
      <c r="K644" s="73">
        <f t="shared" ref="K644:K647" si="1029">+J644*$I644</f>
        <v>0</v>
      </c>
      <c r="L644" s="62">
        <f t="shared" si="952"/>
        <v>6432.908130823691</v>
      </c>
      <c r="M644" s="69">
        <f t="shared" si="996"/>
        <v>4</v>
      </c>
      <c r="N644" s="70">
        <f t="shared" ref="N644:N647" si="1030">100%-(L644/$F644)</f>
        <v>0</v>
      </c>
      <c r="O644" s="69"/>
      <c r="P644" s="73">
        <f t="shared" ref="P644:P647" si="1031">+O644*I644</f>
        <v>0</v>
      </c>
      <c r="Q644" s="62">
        <f t="shared" si="954"/>
        <v>6432.908130823691</v>
      </c>
      <c r="R644" s="69">
        <f t="shared" si="997"/>
        <v>4</v>
      </c>
      <c r="S644" s="70">
        <f t="shared" ref="S644:S647" si="1032">100%-(Q644/$F644)</f>
        <v>0</v>
      </c>
      <c r="T644" s="69"/>
      <c r="U644" s="68">
        <f>+T644*D644</f>
        <v>0</v>
      </c>
      <c r="V644" s="62">
        <f t="shared" si="913"/>
        <v>6432.908130823691</v>
      </c>
      <c r="W644" s="69">
        <f t="shared" si="998"/>
        <v>4</v>
      </c>
      <c r="X644" s="70">
        <f t="shared" ref="X644:X647" si="1033">100%-(V644/$F644)</f>
        <v>0</v>
      </c>
      <c r="Y644" s="69"/>
      <c r="Z644" s="68">
        <f>+Y644*I644</f>
        <v>0</v>
      </c>
      <c r="AA644" s="68">
        <f t="shared" si="915"/>
        <v>6432.908130823691</v>
      </c>
      <c r="AB644" s="69">
        <f t="shared" si="995"/>
        <v>4</v>
      </c>
      <c r="AC644" s="70">
        <f t="shared" ref="AC644:AC647" si="1034">100%-(AA644/$F644)</f>
        <v>0</v>
      </c>
      <c r="AD644" s="69"/>
      <c r="AE644" s="68">
        <f>AD644*I644</f>
        <v>0</v>
      </c>
      <c r="AF644" s="68">
        <f>F644-AE644</f>
        <v>6432.908130823691</v>
      </c>
      <c r="AG644" s="69">
        <f>G644-AD644</f>
        <v>4</v>
      </c>
      <c r="AH644" s="70">
        <f t="shared" ref="AH644:AH647" si="1035">100%-(AF644/$F644)</f>
        <v>0</v>
      </c>
    </row>
    <row r="645" spans="1:34" outlineLevel="1" x14ac:dyDescent="0.25">
      <c r="A645" s="67"/>
      <c r="B645" s="66">
        <v>3130</v>
      </c>
      <c r="C645" s="67" t="s">
        <v>333</v>
      </c>
      <c r="D645" s="68"/>
      <c r="E645" s="68">
        <v>11723.72</v>
      </c>
      <c r="F645" s="68">
        <f>$D$643/$E$643*E645</f>
        <v>15071.49568874045</v>
      </c>
      <c r="G645" s="69">
        <v>4</v>
      </c>
      <c r="H645" s="67" t="s">
        <v>39</v>
      </c>
      <c r="I645" s="68">
        <f t="shared" si="959"/>
        <v>3767.8739221851124</v>
      </c>
      <c r="J645" s="69"/>
      <c r="K645" s="73">
        <f t="shared" si="1029"/>
        <v>0</v>
      </c>
      <c r="L645" s="62">
        <f t="shared" si="952"/>
        <v>15071.49568874045</v>
      </c>
      <c r="M645" s="69">
        <f t="shared" si="996"/>
        <v>4</v>
      </c>
      <c r="N645" s="70">
        <f t="shared" si="1030"/>
        <v>0</v>
      </c>
      <c r="O645" s="69"/>
      <c r="P645" s="73">
        <f t="shared" si="1031"/>
        <v>0</v>
      </c>
      <c r="Q645" s="62">
        <f t="shared" si="954"/>
        <v>15071.49568874045</v>
      </c>
      <c r="R645" s="69">
        <f t="shared" si="997"/>
        <v>4</v>
      </c>
      <c r="S645" s="70">
        <f t="shared" si="1032"/>
        <v>0</v>
      </c>
      <c r="T645" s="69"/>
      <c r="U645" s="68">
        <f>+T645*D645</f>
        <v>0</v>
      </c>
      <c r="V645" s="62">
        <f t="shared" ref="V645:V654" si="1036">+AA645-U645</f>
        <v>15071.49568874045</v>
      </c>
      <c r="W645" s="69">
        <f t="shared" si="998"/>
        <v>4</v>
      </c>
      <c r="X645" s="70">
        <f t="shared" si="1033"/>
        <v>0</v>
      </c>
      <c r="Y645" s="69"/>
      <c r="Z645" s="68">
        <f>+Y645*I645</f>
        <v>0</v>
      </c>
      <c r="AA645" s="68">
        <f t="shared" ref="AA645:AA655" si="1037">+AF645-Z645</f>
        <v>15071.49568874045</v>
      </c>
      <c r="AB645" s="69">
        <f t="shared" si="995"/>
        <v>4</v>
      </c>
      <c r="AC645" s="70">
        <f t="shared" si="1034"/>
        <v>0</v>
      </c>
      <c r="AD645" s="69"/>
      <c r="AE645" s="68">
        <f>AD645*I645</f>
        <v>0</v>
      </c>
      <c r="AF645" s="68">
        <f>F645-AE645</f>
        <v>15071.49568874045</v>
      </c>
      <c r="AG645" s="69">
        <f>G645-AD645</f>
        <v>4</v>
      </c>
      <c r="AH645" s="70">
        <f t="shared" si="1035"/>
        <v>0</v>
      </c>
    </row>
    <row r="646" spans="1:34" outlineLevel="1" x14ac:dyDescent="0.25">
      <c r="A646" s="67"/>
      <c r="B646" s="66">
        <v>2705</v>
      </c>
      <c r="C646" s="67" t="s">
        <v>274</v>
      </c>
      <c r="D646" s="68"/>
      <c r="E646" s="68">
        <v>5353.9</v>
      </c>
      <c r="F646" s="68">
        <f>$D$643/$E$643*E646</f>
        <v>6882.7369442418867</v>
      </c>
      <c r="G646" s="69">
        <v>2</v>
      </c>
      <c r="H646" s="67" t="s">
        <v>39</v>
      </c>
      <c r="I646" s="68">
        <f t="shared" si="959"/>
        <v>3441.3684721209434</v>
      </c>
      <c r="J646" s="69"/>
      <c r="K646" s="73">
        <f t="shared" si="1029"/>
        <v>0</v>
      </c>
      <c r="L646" s="62">
        <f t="shared" si="952"/>
        <v>6882.7369442418867</v>
      </c>
      <c r="M646" s="69">
        <f t="shared" si="996"/>
        <v>2</v>
      </c>
      <c r="N646" s="70">
        <f t="shared" si="1030"/>
        <v>0</v>
      </c>
      <c r="O646" s="69"/>
      <c r="P646" s="73">
        <f t="shared" si="1031"/>
        <v>0</v>
      </c>
      <c r="Q646" s="62">
        <f t="shared" si="954"/>
        <v>6882.7369442418867</v>
      </c>
      <c r="R646" s="69">
        <f t="shared" si="997"/>
        <v>2</v>
      </c>
      <c r="S646" s="70">
        <f t="shared" si="1032"/>
        <v>0</v>
      </c>
      <c r="T646" s="69"/>
      <c r="U646" s="68">
        <f>+T646*D646</f>
        <v>0</v>
      </c>
      <c r="V646" s="62">
        <f t="shared" si="1036"/>
        <v>6882.7369442418867</v>
      </c>
      <c r="W646" s="69">
        <f t="shared" si="998"/>
        <v>2</v>
      </c>
      <c r="X646" s="70">
        <f t="shared" si="1033"/>
        <v>0</v>
      </c>
      <c r="Y646" s="69"/>
      <c r="Z646" s="68">
        <f>+Y646*I646</f>
        <v>0</v>
      </c>
      <c r="AA646" s="68">
        <f t="shared" si="1037"/>
        <v>6882.7369442418867</v>
      </c>
      <c r="AB646" s="69">
        <f t="shared" si="995"/>
        <v>2</v>
      </c>
      <c r="AC646" s="70">
        <f t="shared" si="1034"/>
        <v>0</v>
      </c>
      <c r="AD646" s="69"/>
      <c r="AE646" s="68">
        <f>AD646*I646</f>
        <v>0</v>
      </c>
      <c r="AF646" s="68">
        <f>F646-AE646</f>
        <v>6882.7369442418867</v>
      </c>
      <c r="AG646" s="69">
        <f>G646-AD646</f>
        <v>2</v>
      </c>
      <c r="AH646" s="70">
        <f t="shared" si="1035"/>
        <v>0</v>
      </c>
    </row>
    <row r="647" spans="1:34" outlineLevel="1" x14ac:dyDescent="0.25">
      <c r="A647" s="67"/>
      <c r="B647" s="66">
        <v>2700</v>
      </c>
      <c r="C647" s="67" t="s">
        <v>277</v>
      </c>
      <c r="D647" s="68"/>
      <c r="E647" s="68">
        <v>28480.18</v>
      </c>
      <c r="F647" s="68">
        <f>$D$643/$E$643*E647</f>
        <v>36612.859236193974</v>
      </c>
      <c r="G647" s="69">
        <v>1</v>
      </c>
      <c r="H647" s="67" t="s">
        <v>34</v>
      </c>
      <c r="I647" s="68">
        <f t="shared" si="959"/>
        <v>36612.859236193974</v>
      </c>
      <c r="J647" s="69"/>
      <c r="K647" s="73">
        <f t="shared" si="1029"/>
        <v>0</v>
      </c>
      <c r="L647" s="62">
        <f t="shared" si="952"/>
        <v>36612.859236193974</v>
      </c>
      <c r="M647" s="69">
        <f t="shared" si="996"/>
        <v>1</v>
      </c>
      <c r="N647" s="70">
        <f t="shared" si="1030"/>
        <v>0</v>
      </c>
      <c r="O647" s="69"/>
      <c r="P647" s="73">
        <f t="shared" si="1031"/>
        <v>0</v>
      </c>
      <c r="Q647" s="62">
        <f t="shared" si="954"/>
        <v>36612.859236193974</v>
      </c>
      <c r="R647" s="69">
        <f t="shared" si="997"/>
        <v>1</v>
      </c>
      <c r="S647" s="70">
        <f t="shared" si="1032"/>
        <v>0</v>
      </c>
      <c r="T647" s="69"/>
      <c r="U647" s="68">
        <f>+T647*D647</f>
        <v>0</v>
      </c>
      <c r="V647" s="62">
        <f t="shared" si="1036"/>
        <v>36612.859236193974</v>
      </c>
      <c r="W647" s="69">
        <f t="shared" si="998"/>
        <v>1</v>
      </c>
      <c r="X647" s="70">
        <f t="shared" si="1033"/>
        <v>0</v>
      </c>
      <c r="Y647" s="69"/>
      <c r="Z647" s="68">
        <f>+Y647*I647</f>
        <v>0</v>
      </c>
      <c r="AA647" s="68">
        <f t="shared" si="1037"/>
        <v>36612.859236193974</v>
      </c>
      <c r="AB647" s="69">
        <f t="shared" si="995"/>
        <v>1</v>
      </c>
      <c r="AC647" s="70">
        <f t="shared" si="1034"/>
        <v>0</v>
      </c>
      <c r="AD647" s="69"/>
      <c r="AE647" s="68">
        <f>AD647*I647</f>
        <v>0</v>
      </c>
      <c r="AF647" s="68">
        <f>F647-AE647</f>
        <v>36612.859236193974</v>
      </c>
      <c r="AG647" s="69">
        <f>G647-AD647</f>
        <v>1</v>
      </c>
      <c r="AH647" s="70">
        <f t="shared" si="1035"/>
        <v>0</v>
      </c>
    </row>
    <row r="648" spans="1:34" x14ac:dyDescent="0.25">
      <c r="A648" s="60">
        <v>18</v>
      </c>
      <c r="B648" s="60"/>
      <c r="C648" s="61" t="s">
        <v>336</v>
      </c>
      <c r="D648" s="62">
        <f>_xlfn.XLOOKUP(A648,SOV!$A$9:$A$27,SOV!$C$9:$C$27)</f>
        <v>398000</v>
      </c>
      <c r="E648" s="62">
        <v>320945.34999999998</v>
      </c>
      <c r="F648" s="62"/>
      <c r="G648" s="63"/>
      <c r="H648" s="64"/>
      <c r="I648" s="62"/>
      <c r="J648" s="63"/>
      <c r="K648" s="62">
        <f>SUM(K649)</f>
        <v>9045.454545454546</v>
      </c>
      <c r="L648" s="62">
        <f t="shared" si="952"/>
        <v>388954.54545454553</v>
      </c>
      <c r="M648" s="69">
        <f t="shared" si="996"/>
        <v>0</v>
      </c>
      <c r="N648" s="65"/>
      <c r="O648" s="63"/>
      <c r="P648" s="62">
        <f>SUM(P649)</f>
        <v>0</v>
      </c>
      <c r="Q648" s="62">
        <f t="shared" si="954"/>
        <v>398000.00000000006</v>
      </c>
      <c r="R648" s="69">
        <f t="shared" si="997"/>
        <v>0</v>
      </c>
      <c r="S648" s="65"/>
      <c r="T648" s="63"/>
      <c r="U648" s="62">
        <f>SUM(U649)</f>
        <v>0</v>
      </c>
      <c r="V648" s="62">
        <f t="shared" si="1036"/>
        <v>398000.00000000006</v>
      </c>
      <c r="W648" s="69">
        <f t="shared" si="998"/>
        <v>0</v>
      </c>
      <c r="X648" s="65"/>
      <c r="Y648" s="63"/>
      <c r="Z648" s="62">
        <f>SUM(Z649)</f>
        <v>0</v>
      </c>
      <c r="AA648" s="68">
        <f t="shared" si="1037"/>
        <v>398000.00000000006</v>
      </c>
      <c r="AB648" s="69">
        <f t="shared" si="995"/>
        <v>0</v>
      </c>
      <c r="AC648" s="65"/>
      <c r="AD648" s="63"/>
      <c r="AE648" s="62">
        <f>SUM(AE649)</f>
        <v>0</v>
      </c>
      <c r="AF648" s="62">
        <f>SUM(AF649)</f>
        <v>398000.00000000006</v>
      </c>
      <c r="AG648" s="63"/>
      <c r="AH648" s="65"/>
    </row>
    <row r="649" spans="1:34" outlineLevel="1" x14ac:dyDescent="0.25">
      <c r="A649" s="67"/>
      <c r="B649" s="66"/>
      <c r="C649" s="67" t="s">
        <v>337</v>
      </c>
      <c r="D649" s="68"/>
      <c r="E649" s="68">
        <v>320945.34999999998</v>
      </c>
      <c r="F649" s="68">
        <f>$D$648/$E$648*E649</f>
        <v>398000.00000000006</v>
      </c>
      <c r="G649" s="69">
        <v>8800</v>
      </c>
      <c r="H649" s="67" t="s">
        <v>42</v>
      </c>
      <c r="I649" s="68">
        <f t="shared" si="959"/>
        <v>45.227272727272734</v>
      </c>
      <c r="J649" s="69">
        <v>200</v>
      </c>
      <c r="K649" s="73">
        <f>+J649*$I649</f>
        <v>9045.454545454546</v>
      </c>
      <c r="L649" s="62">
        <f t="shared" si="952"/>
        <v>388954.54545454553</v>
      </c>
      <c r="M649" s="69">
        <f t="shared" si="996"/>
        <v>8600</v>
      </c>
      <c r="N649" s="70">
        <f t="shared" ref="N649" si="1038">100%-(L649/$F649)</f>
        <v>2.2727272727272707E-2</v>
      </c>
      <c r="O649" s="69"/>
      <c r="P649" s="73">
        <f t="shared" ref="P649" si="1039">+O649*I649</f>
        <v>0</v>
      </c>
      <c r="Q649" s="62">
        <f t="shared" si="954"/>
        <v>398000.00000000006</v>
      </c>
      <c r="R649" s="69">
        <f t="shared" si="997"/>
        <v>8800</v>
      </c>
      <c r="S649" s="70">
        <f t="shared" ref="S649" si="1040">100%-(Q649/$F649)</f>
        <v>0</v>
      </c>
      <c r="T649" s="69"/>
      <c r="U649" s="68">
        <f>+T649*D649</f>
        <v>0</v>
      </c>
      <c r="V649" s="62">
        <f t="shared" si="1036"/>
        <v>398000.00000000006</v>
      </c>
      <c r="W649" s="69">
        <f t="shared" si="998"/>
        <v>8800</v>
      </c>
      <c r="X649" s="70">
        <f t="shared" ref="X649" si="1041">100%-(V649/$F649)</f>
        <v>0</v>
      </c>
      <c r="Y649" s="69"/>
      <c r="Z649" s="68">
        <f>+Y649*I649</f>
        <v>0</v>
      </c>
      <c r="AA649" s="68">
        <f t="shared" si="1037"/>
        <v>398000.00000000006</v>
      </c>
      <c r="AB649" s="69">
        <f t="shared" si="995"/>
        <v>8800</v>
      </c>
      <c r="AC649" s="70">
        <f t="shared" ref="AC649" si="1042">100%-(AA649/$F649)</f>
        <v>0</v>
      </c>
      <c r="AD649" s="69"/>
      <c r="AE649" s="68">
        <f>AD649*I649</f>
        <v>0</v>
      </c>
      <c r="AF649" s="68">
        <f>F649-AE649</f>
        <v>398000.00000000006</v>
      </c>
      <c r="AG649" s="69">
        <f>G649-AD649</f>
        <v>8800</v>
      </c>
      <c r="AH649" s="70">
        <f t="shared" ref="AH649" si="1043">100%-(AF649/$F649)</f>
        <v>0</v>
      </c>
    </row>
    <row r="650" spans="1:34" outlineLevel="2" x14ac:dyDescent="0.25">
      <c r="B650" s="71">
        <v>2470</v>
      </c>
      <c r="C650" s="56" t="s">
        <v>338</v>
      </c>
      <c r="E650" s="73">
        <v>62586.239999999998</v>
      </c>
      <c r="F650" s="74">
        <f>$D$648/$E$648*E650</f>
        <v>77612.352134093861</v>
      </c>
      <c r="G650" s="75">
        <v>8800</v>
      </c>
      <c r="H650" s="56" t="s">
        <v>42</v>
      </c>
      <c r="I650" s="73">
        <f t="shared" si="959"/>
        <v>8.8195854697833926</v>
      </c>
      <c r="L650" s="62">
        <f t="shared" si="952"/>
        <v>0</v>
      </c>
      <c r="M650" s="69">
        <f t="shared" si="996"/>
        <v>0</v>
      </c>
      <c r="Q650" s="62">
        <f t="shared" si="954"/>
        <v>0</v>
      </c>
      <c r="R650" s="69">
        <f t="shared" si="997"/>
        <v>0</v>
      </c>
      <c r="V650" s="62">
        <f t="shared" si="1036"/>
        <v>0</v>
      </c>
      <c r="W650" s="69">
        <f t="shared" si="998"/>
        <v>0</v>
      </c>
      <c r="Y650" s="75">
        <f>$AD$649*B650/$G$649</f>
        <v>0</v>
      </c>
      <c r="AA650" s="68">
        <f t="shared" si="1037"/>
        <v>0</v>
      </c>
      <c r="AB650" s="69">
        <f t="shared" si="995"/>
        <v>0</v>
      </c>
      <c r="AD650" s="75">
        <f>$AD$649*G650/$G$649</f>
        <v>0</v>
      </c>
    </row>
    <row r="651" spans="1:34" outlineLevel="2" x14ac:dyDescent="0.25">
      <c r="B651" s="71">
        <v>2490</v>
      </c>
      <c r="C651" s="56" t="s">
        <v>37</v>
      </c>
      <c r="E651" s="73">
        <v>208890</v>
      </c>
      <c r="F651" s="74">
        <f>$D$648/$E$648*E651</f>
        <v>259041.67173632525</v>
      </c>
      <c r="G651" s="75">
        <v>18568</v>
      </c>
      <c r="H651" s="56" t="s">
        <v>43</v>
      </c>
      <c r="I651" s="73">
        <f t="shared" si="959"/>
        <v>13.950973273175638</v>
      </c>
      <c r="L651" s="62">
        <f t="shared" si="952"/>
        <v>0</v>
      </c>
      <c r="M651" s="69">
        <f t="shared" si="996"/>
        <v>0</v>
      </c>
      <c r="Q651" s="62">
        <f t="shared" si="954"/>
        <v>0</v>
      </c>
      <c r="R651" s="69">
        <f t="shared" si="997"/>
        <v>0</v>
      </c>
      <c r="V651" s="62">
        <f t="shared" si="1036"/>
        <v>0</v>
      </c>
      <c r="W651" s="69">
        <f t="shared" si="998"/>
        <v>0</v>
      </c>
      <c r="Y651" s="75">
        <f>$AD$649*B651/$G$649</f>
        <v>0</v>
      </c>
      <c r="AA651" s="68">
        <f t="shared" si="1037"/>
        <v>0</v>
      </c>
      <c r="AB651" s="69">
        <f t="shared" si="995"/>
        <v>0</v>
      </c>
      <c r="AD651" s="75">
        <f>$AD$649*G651/$G$649</f>
        <v>0</v>
      </c>
    </row>
    <row r="652" spans="1:34" outlineLevel="2" x14ac:dyDescent="0.25">
      <c r="B652" s="71">
        <v>2150</v>
      </c>
      <c r="C652" s="56" t="s">
        <v>38</v>
      </c>
      <c r="E652" s="73">
        <v>49469.11</v>
      </c>
      <c r="F652" s="74">
        <f>$D$648/$E$648*E652</f>
        <v>61345.976129580951</v>
      </c>
      <c r="G652" s="75">
        <v>18568</v>
      </c>
      <c r="H652" s="56" t="s">
        <v>43</v>
      </c>
      <c r="I652" s="73">
        <f t="shared" si="959"/>
        <v>3.303854810942533</v>
      </c>
      <c r="L652" s="62">
        <f t="shared" si="952"/>
        <v>0</v>
      </c>
      <c r="M652" s="69">
        <f t="shared" si="996"/>
        <v>0</v>
      </c>
      <c r="Q652" s="62">
        <f t="shared" si="954"/>
        <v>0</v>
      </c>
      <c r="R652" s="69">
        <f t="shared" si="997"/>
        <v>0</v>
      </c>
      <c r="V652" s="62">
        <f t="shared" si="1036"/>
        <v>0</v>
      </c>
      <c r="W652" s="69">
        <f t="shared" si="998"/>
        <v>0</v>
      </c>
      <c r="Y652" s="75">
        <f>$AD$649*B652/$G$649</f>
        <v>0</v>
      </c>
      <c r="AA652" s="68">
        <f t="shared" si="1037"/>
        <v>0</v>
      </c>
      <c r="AB652" s="69">
        <f t="shared" si="995"/>
        <v>0</v>
      </c>
      <c r="AD652" s="75">
        <f>$AD$649*G652/$G$649</f>
        <v>0</v>
      </c>
    </row>
    <row r="653" spans="1:34" x14ac:dyDescent="0.25">
      <c r="A653" s="60">
        <v>19</v>
      </c>
      <c r="B653" s="60"/>
      <c r="C653" s="61" t="s">
        <v>339</v>
      </c>
      <c r="D653" s="62">
        <f>_xlfn.XLOOKUP(A653,SOV!$A$9:$A$27,SOV!$C$9:$C$27)</f>
        <v>100000</v>
      </c>
      <c r="E653" s="62">
        <v>81601.06</v>
      </c>
      <c r="F653" s="62"/>
      <c r="G653" s="63"/>
      <c r="H653" s="64"/>
      <c r="I653" s="62"/>
      <c r="J653" s="63"/>
      <c r="K653" s="62">
        <f>SUM(K654)</f>
        <v>10000</v>
      </c>
      <c r="L653" s="62">
        <f t="shared" si="952"/>
        <v>55000</v>
      </c>
      <c r="M653" s="69">
        <f t="shared" si="996"/>
        <v>0</v>
      </c>
      <c r="N653" s="65"/>
      <c r="O653" s="63"/>
      <c r="P653" s="62">
        <f>SUM(P654)</f>
        <v>5000</v>
      </c>
      <c r="Q653" s="62">
        <f t="shared" si="954"/>
        <v>65000</v>
      </c>
      <c r="R653" s="69">
        <f t="shared" si="997"/>
        <v>0</v>
      </c>
      <c r="S653" s="65"/>
      <c r="T653" s="63"/>
      <c r="U653" s="62">
        <f>SUM(U654)</f>
        <v>10000</v>
      </c>
      <c r="V653" s="62">
        <f t="shared" si="1036"/>
        <v>70000</v>
      </c>
      <c r="W653" s="69">
        <f t="shared" si="998"/>
        <v>0</v>
      </c>
      <c r="X653" s="65"/>
      <c r="Y653" s="63"/>
      <c r="Z653" s="62">
        <f>SUM(Z654)</f>
        <v>10000</v>
      </c>
      <c r="AA653" s="68">
        <f t="shared" si="1037"/>
        <v>80000</v>
      </c>
      <c r="AB653" s="69">
        <f t="shared" si="995"/>
        <v>0</v>
      </c>
      <c r="AC653" s="65"/>
      <c r="AD653" s="63"/>
      <c r="AE653" s="62">
        <f>SUM(AE654)</f>
        <v>10000</v>
      </c>
      <c r="AF653" s="62">
        <f>SUM(AF654)</f>
        <v>90000</v>
      </c>
      <c r="AG653" s="63"/>
      <c r="AH653" s="65"/>
    </row>
    <row r="654" spans="1:34" outlineLevel="1" x14ac:dyDescent="0.25">
      <c r="A654" s="67"/>
      <c r="B654" s="66">
        <v>1400</v>
      </c>
      <c r="C654" s="67" t="s">
        <v>340</v>
      </c>
      <c r="D654" s="68"/>
      <c r="E654" s="68">
        <v>81601.06</v>
      </c>
      <c r="F654" s="68">
        <f>$D$653/$E$653*E654</f>
        <v>100000</v>
      </c>
      <c r="G654" s="69">
        <v>1</v>
      </c>
      <c r="H654" s="67" t="s">
        <v>34</v>
      </c>
      <c r="I654" s="68">
        <f t="shared" si="959"/>
        <v>100000</v>
      </c>
      <c r="J654" s="69">
        <v>0.1</v>
      </c>
      <c r="K654" s="68">
        <f>+J654*$I654</f>
        <v>10000</v>
      </c>
      <c r="L654" s="62">
        <f t="shared" si="952"/>
        <v>55000</v>
      </c>
      <c r="M654" s="69">
        <f t="shared" si="996"/>
        <v>0.55000000000000004</v>
      </c>
      <c r="N654" s="70">
        <f t="shared" ref="N654" si="1044">100%-(L654/$F654)</f>
        <v>0.44999999999999996</v>
      </c>
      <c r="O654" s="69">
        <v>0.05</v>
      </c>
      <c r="P654" s="68">
        <f>+O654*I654</f>
        <v>5000</v>
      </c>
      <c r="Q654" s="62">
        <f t="shared" si="954"/>
        <v>65000</v>
      </c>
      <c r="R654" s="69">
        <f t="shared" si="997"/>
        <v>0.65</v>
      </c>
      <c r="S654" s="70">
        <f t="shared" ref="S654" si="1045">100%-(Q654/$F654)</f>
        <v>0.35</v>
      </c>
      <c r="T654" s="69">
        <v>0.1</v>
      </c>
      <c r="U654" s="68">
        <f>+T654*I654</f>
        <v>10000</v>
      </c>
      <c r="V654" s="62">
        <f t="shared" si="1036"/>
        <v>70000</v>
      </c>
      <c r="W654" s="69">
        <f t="shared" si="998"/>
        <v>0.70000000000000007</v>
      </c>
      <c r="X654" s="70">
        <f t="shared" ref="X654" si="1046">100%-(V654/$F654)</f>
        <v>0.30000000000000004</v>
      </c>
      <c r="Y654" s="69">
        <v>0.1</v>
      </c>
      <c r="Z654" s="68">
        <f>+Y654*I654</f>
        <v>10000</v>
      </c>
      <c r="AA654" s="68">
        <f t="shared" si="1037"/>
        <v>80000</v>
      </c>
      <c r="AB654" s="69">
        <f t="shared" si="995"/>
        <v>0.8</v>
      </c>
      <c r="AC654" s="70">
        <f t="shared" ref="AC654" si="1047">100%-(AA654/$F654)</f>
        <v>0.19999999999999996</v>
      </c>
      <c r="AD654" s="69">
        <v>0.1</v>
      </c>
      <c r="AE654" s="68">
        <f>AD654*I654</f>
        <v>10000</v>
      </c>
      <c r="AF654" s="68">
        <f>F654-AE654</f>
        <v>90000</v>
      </c>
      <c r="AG654" s="69">
        <f>G654-AD654</f>
        <v>0.9</v>
      </c>
      <c r="AH654" s="70">
        <f t="shared" ref="AH654" si="1048">100%-(AF654/$F654)</f>
        <v>9.9999999999999978E-2</v>
      </c>
    </row>
    <row r="655" spans="1:34" x14ac:dyDescent="0.25">
      <c r="AA655" s="68">
        <f t="shared" si="1037"/>
        <v>0</v>
      </c>
    </row>
  </sheetData>
  <autoFilter ref="A1:AH654" xr:uid="{ADDB936A-C353-4465-859F-8409F398E9AE}">
    <filterColumn colId="24" showButton="0"/>
    <filterColumn colId="25" showButton="0"/>
    <filterColumn colId="26" showButton="0"/>
    <filterColumn colId="27" showButton="0"/>
    <filterColumn colId="29" showButton="0"/>
    <filterColumn colId="30" showButton="0"/>
    <filterColumn colId="31" showButton="0"/>
    <filterColumn colId="32" showButton="0"/>
  </autoFilter>
  <mergeCells count="14">
    <mergeCell ref="AD1:AH1"/>
    <mergeCell ref="I1:I2"/>
    <mergeCell ref="A1:A2"/>
    <mergeCell ref="B1:B2"/>
    <mergeCell ref="C1:C2"/>
    <mergeCell ref="D1:D2"/>
    <mergeCell ref="E1:E2"/>
    <mergeCell ref="F1:F2"/>
    <mergeCell ref="G1:G2"/>
    <mergeCell ref="H1:H2"/>
    <mergeCell ref="Y1:AC1"/>
    <mergeCell ref="T1:X1"/>
    <mergeCell ref="O1:S1"/>
    <mergeCell ref="J1:N1"/>
  </mergeCells>
  <phoneticPr fontId="8" type="noConversion"/>
  <pageMargins left="0.45" right="0" top="0.25" bottom="0.25" header="0" footer="0"/>
  <pageSetup paperSize="3" scale="78" fitToHeight="1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EFAEA-FE0D-4D98-9179-94B9D0B843DF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420D-465D-4096-B1D6-88450DCA7D3D}">
  <sheetPr>
    <outlinePr summaryBelow="0"/>
  </sheetPr>
  <dimension ref="A1:N665"/>
  <sheetViews>
    <sheetView topLeftCell="A458" workbookViewId="0">
      <selection activeCell="E637" sqref="E637"/>
    </sheetView>
  </sheetViews>
  <sheetFormatPr defaultRowHeight="15" outlineLevelRow="1" x14ac:dyDescent="0.25"/>
  <cols>
    <col min="1" max="1" width="6.5703125" bestFit="1" customWidth="1"/>
    <col min="2" max="2" width="10.5703125" bestFit="1" customWidth="1"/>
    <col min="3" max="3" width="57.7109375" bestFit="1" customWidth="1"/>
    <col min="4" max="4" width="9.85546875" customWidth="1"/>
    <col min="5" max="5" width="15.5703125" bestFit="1" customWidth="1"/>
    <col min="6" max="6" width="12" bestFit="1" customWidth="1"/>
    <col min="7" max="7" width="6.140625" bestFit="1" customWidth="1"/>
    <col min="8" max="8" width="13.7109375" bestFit="1" customWidth="1"/>
    <col min="9" max="9" width="9.7109375" bestFit="1" customWidth="1"/>
    <col min="10" max="11" width="11.85546875" bestFit="1" customWidth="1"/>
    <col min="12" max="12" width="13.42578125" bestFit="1" customWidth="1"/>
    <col min="13" max="13" width="18.85546875" bestFit="1" customWidth="1"/>
    <col min="14" max="14" width="13.42578125" bestFit="1" customWidth="1"/>
  </cols>
  <sheetData>
    <row r="1" spans="1:14" x14ac:dyDescent="0.25">
      <c r="A1" t="s">
        <v>108</v>
      </c>
      <c r="B1" t="s">
        <v>110</v>
      </c>
      <c r="C1" t="s">
        <v>111</v>
      </c>
      <c r="E1" t="s">
        <v>109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</row>
    <row r="2" spans="1:14" x14ac:dyDescent="0.25">
      <c r="A2">
        <v>1</v>
      </c>
      <c r="C2" t="s">
        <v>121</v>
      </c>
      <c r="E2" s="46">
        <v>29138.0844663682</v>
      </c>
      <c r="F2">
        <v>1</v>
      </c>
      <c r="G2" t="s">
        <v>34</v>
      </c>
      <c r="H2" s="46">
        <v>40400</v>
      </c>
      <c r="I2" s="46">
        <v>0</v>
      </c>
      <c r="J2" s="46">
        <v>9053.2677365855507</v>
      </c>
      <c r="K2" s="46">
        <v>5871.2510000000002</v>
      </c>
      <c r="L2" s="46">
        <v>9278.9552500000009</v>
      </c>
      <c r="M2" s="46">
        <v>0</v>
      </c>
      <c r="N2" s="46">
        <v>4934.6104797826101</v>
      </c>
    </row>
    <row r="3" spans="1:14" outlineLevel="1" x14ac:dyDescent="0.25">
      <c r="B3">
        <v>2100</v>
      </c>
      <c r="C3" s="47" t="s">
        <v>122</v>
      </c>
      <c r="D3" s="47"/>
      <c r="E3" s="46">
        <v>29138.0844663682</v>
      </c>
      <c r="F3">
        <v>1</v>
      </c>
      <c r="G3" t="s">
        <v>34</v>
      </c>
      <c r="I3" s="46">
        <v>0</v>
      </c>
      <c r="J3" s="46">
        <v>9053.2677365855507</v>
      </c>
      <c r="K3" s="46">
        <v>5871.2510000000002</v>
      </c>
      <c r="L3" s="46">
        <v>9278.9552500000009</v>
      </c>
      <c r="M3" s="46">
        <v>0</v>
      </c>
      <c r="N3" s="46">
        <v>4934.6104797826101</v>
      </c>
    </row>
    <row r="4" spans="1:14" x14ac:dyDescent="0.25">
      <c r="A4">
        <v>2</v>
      </c>
      <c r="C4" t="s">
        <v>32</v>
      </c>
      <c r="E4" s="46">
        <v>422513.35537045897</v>
      </c>
      <c r="F4">
        <v>1</v>
      </c>
      <c r="G4" t="s">
        <v>34</v>
      </c>
      <c r="H4" s="46">
        <v>582300</v>
      </c>
      <c r="I4" s="46">
        <v>0</v>
      </c>
      <c r="J4" s="46">
        <v>124610.32088314999</v>
      </c>
      <c r="K4" s="46">
        <v>152212.823857143</v>
      </c>
      <c r="L4" s="46">
        <v>44681.630752049998</v>
      </c>
      <c r="M4" s="46">
        <v>16900</v>
      </c>
      <c r="N4" s="46">
        <v>84108.579878115997</v>
      </c>
    </row>
    <row r="5" spans="1:14" outlineLevel="1" x14ac:dyDescent="0.25">
      <c r="B5">
        <v>2402</v>
      </c>
      <c r="C5" s="47" t="s">
        <v>123</v>
      </c>
      <c r="D5" s="47"/>
      <c r="E5" s="46">
        <v>16900</v>
      </c>
      <c r="F5">
        <v>1</v>
      </c>
      <c r="G5" t="s">
        <v>34</v>
      </c>
      <c r="I5" s="46">
        <v>0</v>
      </c>
      <c r="J5" s="46">
        <v>0</v>
      </c>
      <c r="K5" s="46">
        <v>0</v>
      </c>
      <c r="L5" s="46">
        <v>0</v>
      </c>
      <c r="M5" s="46">
        <v>16900</v>
      </c>
      <c r="N5" s="46">
        <v>0</v>
      </c>
    </row>
    <row r="6" spans="1:14" outlineLevel="1" x14ac:dyDescent="0.25">
      <c r="C6" s="47" t="s">
        <v>124</v>
      </c>
      <c r="D6" s="47"/>
      <c r="E6" s="46">
        <v>16075.1163431634</v>
      </c>
      <c r="F6">
        <v>17303</v>
      </c>
      <c r="G6" t="s">
        <v>41</v>
      </c>
      <c r="I6" s="46">
        <v>0</v>
      </c>
      <c r="J6" s="46">
        <v>3351.43768840145</v>
      </c>
      <c r="K6" s="46">
        <v>3312.2885714285699</v>
      </c>
      <c r="L6" s="46">
        <v>2850.6692499999999</v>
      </c>
      <c r="M6" s="46">
        <v>0</v>
      </c>
      <c r="N6" s="46">
        <v>6560.7208333333301</v>
      </c>
    </row>
    <row r="7" spans="1:14" outlineLevel="1" x14ac:dyDescent="0.25">
      <c r="B7">
        <v>2420</v>
      </c>
      <c r="C7" s="48" t="s">
        <v>125</v>
      </c>
      <c r="D7" s="48"/>
      <c r="E7" s="46">
        <v>6663.7262598300204</v>
      </c>
      <c r="F7">
        <v>17303</v>
      </c>
      <c r="G7" t="s">
        <v>41</v>
      </c>
      <c r="I7" s="46">
        <v>0</v>
      </c>
      <c r="J7" s="46">
        <v>3351.43768840145</v>
      </c>
      <c r="K7" s="46">
        <v>3312.2885714285699</v>
      </c>
      <c r="L7" s="46">
        <v>0</v>
      </c>
      <c r="M7" s="46">
        <v>0</v>
      </c>
      <c r="N7" s="46">
        <v>0</v>
      </c>
    </row>
    <row r="8" spans="1:14" outlineLevel="1" x14ac:dyDescent="0.25">
      <c r="B8">
        <v>2490</v>
      </c>
      <c r="C8" s="48" t="s">
        <v>37</v>
      </c>
      <c r="D8" s="48"/>
      <c r="E8" s="46">
        <v>2850.6692499999999</v>
      </c>
      <c r="F8">
        <v>432.57499999999999</v>
      </c>
      <c r="G8" t="s">
        <v>43</v>
      </c>
      <c r="I8" s="46">
        <v>0</v>
      </c>
      <c r="J8" s="46">
        <v>0</v>
      </c>
      <c r="K8" s="46">
        <v>0</v>
      </c>
      <c r="L8" s="46">
        <v>2850.6692499999999</v>
      </c>
      <c r="M8" s="46">
        <v>0</v>
      </c>
      <c r="N8" s="46">
        <v>0</v>
      </c>
    </row>
    <row r="9" spans="1:14" outlineLevel="1" x14ac:dyDescent="0.25">
      <c r="B9">
        <v>2150</v>
      </c>
      <c r="C9" s="48" t="s">
        <v>38</v>
      </c>
      <c r="D9" s="48"/>
      <c r="E9" s="46">
        <v>6560.7208333333301</v>
      </c>
      <c r="F9">
        <v>432.57499999999999</v>
      </c>
      <c r="G9" t="s">
        <v>43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v>6560.7208333333301</v>
      </c>
    </row>
    <row r="10" spans="1:14" outlineLevel="1" x14ac:dyDescent="0.25">
      <c r="C10" s="47" t="s">
        <v>126</v>
      </c>
      <c r="D10" s="47"/>
      <c r="E10" s="46">
        <v>98784.182032361394</v>
      </c>
      <c r="F10">
        <v>147064</v>
      </c>
      <c r="G10" t="s">
        <v>41</v>
      </c>
      <c r="I10" s="46">
        <v>0</v>
      </c>
      <c r="J10" s="46">
        <v>19939.495032361399</v>
      </c>
      <c r="K10" s="46">
        <v>19706.576000000001</v>
      </c>
      <c r="L10" s="46">
        <v>17316.786</v>
      </c>
      <c r="M10" s="46">
        <v>0</v>
      </c>
      <c r="N10" s="46">
        <v>41821.324999999997</v>
      </c>
    </row>
    <row r="11" spans="1:14" outlineLevel="1" x14ac:dyDescent="0.25">
      <c r="B11">
        <v>2410</v>
      </c>
      <c r="C11" s="48" t="s">
        <v>36</v>
      </c>
      <c r="D11" s="48"/>
      <c r="E11" s="46">
        <v>39646.071032361397</v>
      </c>
      <c r="F11">
        <v>147064</v>
      </c>
      <c r="G11" t="s">
        <v>41</v>
      </c>
      <c r="I11" s="46">
        <v>0</v>
      </c>
      <c r="J11" s="46">
        <v>19939.495032361399</v>
      </c>
      <c r="K11" s="46">
        <v>19706.576000000001</v>
      </c>
      <c r="L11" s="46">
        <v>0</v>
      </c>
      <c r="M11" s="46">
        <v>0</v>
      </c>
      <c r="N11" s="46">
        <v>0</v>
      </c>
    </row>
    <row r="12" spans="1:14" outlineLevel="1" x14ac:dyDescent="0.25">
      <c r="B12">
        <v>2490</v>
      </c>
      <c r="C12" s="48" t="s">
        <v>37</v>
      </c>
      <c r="D12" s="48"/>
      <c r="E12" s="46">
        <v>17316.786</v>
      </c>
      <c r="F12">
        <v>2757.45</v>
      </c>
      <c r="G12" t="s">
        <v>43</v>
      </c>
      <c r="I12" s="46">
        <v>0</v>
      </c>
      <c r="J12" s="46">
        <v>0</v>
      </c>
      <c r="K12" s="46">
        <v>0</v>
      </c>
      <c r="L12" s="46">
        <v>17316.786</v>
      </c>
      <c r="M12" s="46">
        <v>0</v>
      </c>
      <c r="N12" s="46">
        <v>0</v>
      </c>
    </row>
    <row r="13" spans="1:14" outlineLevel="1" x14ac:dyDescent="0.25">
      <c r="B13">
        <v>2150</v>
      </c>
      <c r="C13" s="48" t="s">
        <v>38</v>
      </c>
      <c r="D13" s="48"/>
      <c r="E13" s="46">
        <v>41821.324999999997</v>
      </c>
      <c r="F13">
        <v>2757.45</v>
      </c>
      <c r="G13" t="s">
        <v>43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41821.324999999997</v>
      </c>
    </row>
    <row r="14" spans="1:14" outlineLevel="1" x14ac:dyDescent="0.25">
      <c r="C14" s="47" t="s">
        <v>127</v>
      </c>
      <c r="D14" s="47"/>
      <c r="E14" s="46">
        <v>11787.904612251899</v>
      </c>
      <c r="F14">
        <v>1634</v>
      </c>
      <c r="G14" t="s">
        <v>40</v>
      </c>
      <c r="I14" s="46">
        <v>0</v>
      </c>
      <c r="J14" s="46">
        <v>3164.91312653757</v>
      </c>
      <c r="K14" s="46">
        <v>4356.9442857142903</v>
      </c>
      <c r="L14" s="46">
        <v>1292.1672000000001</v>
      </c>
      <c r="M14" s="46">
        <v>0</v>
      </c>
      <c r="N14" s="46">
        <v>2973.88</v>
      </c>
    </row>
    <row r="15" spans="1:14" outlineLevel="1" x14ac:dyDescent="0.25">
      <c r="B15">
        <v>2421</v>
      </c>
      <c r="C15" s="48" t="s">
        <v>128</v>
      </c>
      <c r="D15" s="48"/>
      <c r="E15" s="46">
        <v>7521.8574122518603</v>
      </c>
      <c r="F15">
        <v>1634</v>
      </c>
      <c r="G15" t="s">
        <v>40</v>
      </c>
      <c r="I15" s="46">
        <v>0</v>
      </c>
      <c r="J15" s="46">
        <v>3164.91312653757</v>
      </c>
      <c r="K15" s="46">
        <v>4356.9442857142903</v>
      </c>
      <c r="L15" s="46">
        <v>0</v>
      </c>
      <c r="M15" s="46">
        <v>0</v>
      </c>
      <c r="N15" s="46">
        <v>0</v>
      </c>
    </row>
    <row r="16" spans="1:14" outlineLevel="1" x14ac:dyDescent="0.25">
      <c r="B16">
        <v>2490</v>
      </c>
      <c r="C16" s="48" t="s">
        <v>37</v>
      </c>
      <c r="D16" s="48"/>
      <c r="E16" s="46">
        <v>1292.1672000000001</v>
      </c>
      <c r="F16">
        <v>196.08</v>
      </c>
      <c r="G16" t="s">
        <v>43</v>
      </c>
      <c r="I16" s="46">
        <v>0</v>
      </c>
      <c r="J16" s="46">
        <v>0</v>
      </c>
      <c r="K16" s="46">
        <v>0</v>
      </c>
      <c r="L16" s="46">
        <v>1292.1672000000001</v>
      </c>
      <c r="M16" s="46">
        <v>0</v>
      </c>
      <c r="N16" s="46">
        <v>0</v>
      </c>
    </row>
    <row r="17" spans="2:14" outlineLevel="1" x14ac:dyDescent="0.25">
      <c r="B17">
        <v>2150</v>
      </c>
      <c r="C17" s="48" t="s">
        <v>38</v>
      </c>
      <c r="D17" s="48"/>
      <c r="E17" s="46">
        <v>2973.88</v>
      </c>
      <c r="F17">
        <v>196.08</v>
      </c>
      <c r="G17" t="s">
        <v>43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v>2973.88</v>
      </c>
    </row>
    <row r="18" spans="2:14" outlineLevel="1" x14ac:dyDescent="0.25">
      <c r="C18" s="47" t="s">
        <v>129</v>
      </c>
      <c r="D18" s="47"/>
      <c r="E18" s="46">
        <v>2487.3840528064002</v>
      </c>
      <c r="F18">
        <v>811</v>
      </c>
      <c r="G18" t="s">
        <v>40</v>
      </c>
      <c r="I18" s="46">
        <v>0</v>
      </c>
      <c r="J18" s="46">
        <v>1721.9898317919101</v>
      </c>
      <c r="K18" s="46">
        <v>700</v>
      </c>
      <c r="L18" s="46">
        <v>50.6875</v>
      </c>
      <c r="M18" s="46">
        <v>0</v>
      </c>
      <c r="N18" s="46">
        <v>14.7067210144928</v>
      </c>
    </row>
    <row r="19" spans="2:14" outlineLevel="1" x14ac:dyDescent="0.25">
      <c r="B19">
        <v>2401</v>
      </c>
      <c r="C19" s="48" t="s">
        <v>35</v>
      </c>
      <c r="D19" s="48"/>
      <c r="E19" s="46">
        <v>2421.9898317919101</v>
      </c>
      <c r="F19">
        <v>811</v>
      </c>
      <c r="G19" t="s">
        <v>40</v>
      </c>
      <c r="I19" s="46">
        <v>0</v>
      </c>
      <c r="J19" s="46">
        <v>1721.9898317919101</v>
      </c>
      <c r="K19" s="46">
        <v>700</v>
      </c>
      <c r="L19" s="46">
        <v>0</v>
      </c>
      <c r="M19" s="46">
        <v>0</v>
      </c>
      <c r="N19" s="46">
        <v>0</v>
      </c>
    </row>
    <row r="20" spans="2:14" outlineLevel="1" x14ac:dyDescent="0.25">
      <c r="B20">
        <v>2490</v>
      </c>
      <c r="C20" s="48" t="s">
        <v>37</v>
      </c>
      <c r="D20" s="48"/>
      <c r="E20" s="46">
        <v>50.6875</v>
      </c>
      <c r="F20">
        <v>2.0274999999999999</v>
      </c>
      <c r="G20" t="s">
        <v>43</v>
      </c>
      <c r="I20" s="46">
        <v>0</v>
      </c>
      <c r="J20" s="46">
        <v>0</v>
      </c>
      <c r="K20" s="46">
        <v>0</v>
      </c>
      <c r="L20" s="46">
        <v>50.6875</v>
      </c>
      <c r="M20" s="46">
        <v>0</v>
      </c>
      <c r="N20" s="46">
        <v>0</v>
      </c>
    </row>
    <row r="21" spans="2:14" outlineLevel="1" x14ac:dyDescent="0.25">
      <c r="B21">
        <v>2150</v>
      </c>
      <c r="C21" s="48" t="s">
        <v>38</v>
      </c>
      <c r="D21" s="48"/>
      <c r="E21" s="46">
        <v>14.7067210144928</v>
      </c>
      <c r="F21">
        <v>2.0274999999999999</v>
      </c>
      <c r="G21" t="s">
        <v>43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14.7067210144928</v>
      </c>
    </row>
    <row r="22" spans="2:14" outlineLevel="1" x14ac:dyDescent="0.25">
      <c r="C22" s="47" t="s">
        <v>130</v>
      </c>
      <c r="D22" s="47"/>
      <c r="E22" s="46">
        <v>159088.02088600199</v>
      </c>
      <c r="F22">
        <v>3367</v>
      </c>
      <c r="G22" t="s">
        <v>40</v>
      </c>
      <c r="I22" s="46">
        <v>0</v>
      </c>
      <c r="J22" s="46">
        <v>56348.017821469701</v>
      </c>
      <c r="K22" s="46">
        <v>74276.02</v>
      </c>
      <c r="L22" s="46">
        <v>11858.0497633</v>
      </c>
      <c r="M22" s="46">
        <v>0</v>
      </c>
      <c r="N22" s="46">
        <v>16605.9333012319</v>
      </c>
    </row>
    <row r="23" spans="2:14" outlineLevel="1" x14ac:dyDescent="0.25">
      <c r="B23">
        <v>2450</v>
      </c>
      <c r="C23" s="48" t="s">
        <v>131</v>
      </c>
      <c r="D23" s="48"/>
      <c r="E23" s="46">
        <v>130624.03782147</v>
      </c>
      <c r="F23">
        <v>3367</v>
      </c>
      <c r="G23" t="s">
        <v>40</v>
      </c>
      <c r="I23" s="46">
        <v>0</v>
      </c>
      <c r="J23" s="46">
        <v>56348.017821469701</v>
      </c>
      <c r="K23" s="46">
        <v>74276.02</v>
      </c>
      <c r="L23" s="46">
        <v>0</v>
      </c>
      <c r="M23" s="46">
        <v>0</v>
      </c>
      <c r="N23" s="46">
        <v>0</v>
      </c>
    </row>
    <row r="24" spans="2:14" outlineLevel="1" x14ac:dyDescent="0.25">
      <c r="B24">
        <v>2490</v>
      </c>
      <c r="C24" s="48" t="s">
        <v>37</v>
      </c>
      <c r="D24" s="48"/>
      <c r="E24" s="46">
        <v>480.63925</v>
      </c>
      <c r="F24">
        <v>19.225570000000001</v>
      </c>
      <c r="G24" t="s">
        <v>43</v>
      </c>
      <c r="I24" s="46">
        <v>0</v>
      </c>
      <c r="J24" s="46">
        <v>0</v>
      </c>
      <c r="K24" s="46">
        <v>0</v>
      </c>
      <c r="L24" s="46">
        <v>480.63925</v>
      </c>
      <c r="M24" s="46">
        <v>0</v>
      </c>
      <c r="N24" s="46">
        <v>0</v>
      </c>
    </row>
    <row r="25" spans="2:14" outlineLevel="1" x14ac:dyDescent="0.25">
      <c r="B25">
        <v>2150</v>
      </c>
      <c r="C25" s="48" t="s">
        <v>38</v>
      </c>
      <c r="D25" s="48"/>
      <c r="E25" s="46">
        <v>139.45504036231901</v>
      </c>
      <c r="F25">
        <v>19.225570000000001</v>
      </c>
      <c r="G25" t="s">
        <v>43</v>
      </c>
      <c r="I25" s="46">
        <v>0</v>
      </c>
      <c r="J25" s="46">
        <v>0</v>
      </c>
      <c r="K25" s="46">
        <v>0</v>
      </c>
      <c r="L25" s="46">
        <v>0</v>
      </c>
      <c r="M25" s="46">
        <v>0</v>
      </c>
      <c r="N25" s="46">
        <v>139.45504036231901</v>
      </c>
    </row>
    <row r="26" spans="2:14" outlineLevel="1" x14ac:dyDescent="0.25">
      <c r="B26">
        <v>2172</v>
      </c>
      <c r="C26" s="48" t="s">
        <v>133</v>
      </c>
      <c r="D26" s="48"/>
      <c r="E26" s="46">
        <v>8464.1105133000001</v>
      </c>
      <c r="F26">
        <v>971.1</v>
      </c>
      <c r="G26" t="s">
        <v>43</v>
      </c>
      <c r="I26" s="46">
        <v>0</v>
      </c>
      <c r="J26" s="46">
        <v>0</v>
      </c>
      <c r="K26" s="46">
        <v>0</v>
      </c>
      <c r="L26" s="46">
        <v>8464.1105133000001</v>
      </c>
      <c r="M26" s="46">
        <v>0</v>
      </c>
      <c r="N26" s="46">
        <v>0</v>
      </c>
    </row>
    <row r="27" spans="2:14" outlineLevel="1" x14ac:dyDescent="0.25">
      <c r="B27">
        <v>2149</v>
      </c>
      <c r="C27" s="48" t="s">
        <v>48</v>
      </c>
      <c r="D27" s="48"/>
      <c r="E27" s="46">
        <v>8233.2391304347802</v>
      </c>
      <c r="F27">
        <v>971.1</v>
      </c>
      <c r="G27" t="s">
        <v>43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>
        <v>8233.2391304347802</v>
      </c>
    </row>
    <row r="28" spans="2:14" outlineLevel="1" x14ac:dyDescent="0.25">
      <c r="B28">
        <v>2150</v>
      </c>
      <c r="C28" s="48" t="s">
        <v>38</v>
      </c>
      <c r="D28" s="48"/>
      <c r="E28" s="46">
        <v>8233.2391304347802</v>
      </c>
      <c r="F28">
        <v>971.1</v>
      </c>
      <c r="G28" t="s">
        <v>43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v>8233.2391304347802</v>
      </c>
    </row>
    <row r="29" spans="2:14" outlineLevel="1" x14ac:dyDescent="0.25">
      <c r="B29">
        <v>2490</v>
      </c>
      <c r="C29" s="48" t="s">
        <v>37</v>
      </c>
      <c r="D29" s="48"/>
      <c r="E29" s="46">
        <v>2913.3</v>
      </c>
      <c r="F29">
        <v>971.1</v>
      </c>
      <c r="G29" t="s">
        <v>43</v>
      </c>
      <c r="I29" s="46">
        <v>0</v>
      </c>
      <c r="J29" s="46">
        <v>0</v>
      </c>
      <c r="K29" s="46">
        <v>0</v>
      </c>
      <c r="L29" s="46">
        <v>2913.3</v>
      </c>
      <c r="M29" s="46">
        <v>0</v>
      </c>
      <c r="N29" s="46">
        <v>0</v>
      </c>
    </row>
    <row r="30" spans="2:14" outlineLevel="1" x14ac:dyDescent="0.25">
      <c r="C30" s="47" t="s">
        <v>134</v>
      </c>
      <c r="D30" s="47"/>
      <c r="E30" s="46">
        <v>63206.441650271401</v>
      </c>
      <c r="F30">
        <v>691</v>
      </c>
      <c r="G30" t="s">
        <v>40</v>
      </c>
      <c r="I30" s="46">
        <v>0</v>
      </c>
      <c r="J30" s="46">
        <v>17346.219326389499</v>
      </c>
      <c r="K30" s="46">
        <v>22865.19</v>
      </c>
      <c r="L30" s="46">
        <v>9442.7384426499993</v>
      </c>
      <c r="M30" s="46">
        <v>0</v>
      </c>
      <c r="N30" s="46">
        <v>13552.293881231901</v>
      </c>
    </row>
    <row r="31" spans="2:14" outlineLevel="1" x14ac:dyDescent="0.25">
      <c r="B31">
        <v>2450</v>
      </c>
      <c r="C31" s="48" t="s">
        <v>131</v>
      </c>
      <c r="D31" s="48"/>
      <c r="E31" s="46">
        <v>40211.409326389497</v>
      </c>
      <c r="F31">
        <v>691</v>
      </c>
      <c r="G31" t="s">
        <v>40</v>
      </c>
      <c r="I31" s="46">
        <v>0</v>
      </c>
      <c r="J31" s="46">
        <v>17346.219326389499</v>
      </c>
      <c r="K31" s="46">
        <v>22865.19</v>
      </c>
      <c r="L31" s="46">
        <v>0</v>
      </c>
      <c r="M31" s="46">
        <v>0</v>
      </c>
      <c r="N31" s="46">
        <v>0</v>
      </c>
    </row>
    <row r="32" spans="2:14" outlineLevel="1" x14ac:dyDescent="0.25">
      <c r="B32">
        <v>2490</v>
      </c>
      <c r="C32" s="48" t="s">
        <v>37</v>
      </c>
      <c r="D32" s="48"/>
      <c r="E32" s="46">
        <v>98.640249999999995</v>
      </c>
      <c r="F32">
        <v>3.9456099999999998</v>
      </c>
      <c r="G32" t="s">
        <v>43</v>
      </c>
      <c r="I32" s="46">
        <v>0</v>
      </c>
      <c r="J32" s="46">
        <v>0</v>
      </c>
      <c r="K32" s="46">
        <v>0</v>
      </c>
      <c r="L32" s="46">
        <v>98.640249999999995</v>
      </c>
      <c r="M32" s="46">
        <v>0</v>
      </c>
      <c r="N32" s="46">
        <v>0</v>
      </c>
    </row>
    <row r="33" spans="2:14" outlineLevel="1" x14ac:dyDescent="0.25">
      <c r="B33">
        <v>2150</v>
      </c>
      <c r="C33" s="48" t="s">
        <v>38</v>
      </c>
      <c r="D33" s="48"/>
      <c r="E33" s="46">
        <v>28.619968188405799</v>
      </c>
      <c r="F33">
        <v>3.9456099999999998</v>
      </c>
      <c r="G33" t="s">
        <v>43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v>28.619968188405799</v>
      </c>
    </row>
    <row r="34" spans="2:14" outlineLevel="1" x14ac:dyDescent="0.25">
      <c r="B34">
        <v>2172</v>
      </c>
      <c r="C34" s="48" t="s">
        <v>133</v>
      </c>
      <c r="D34" s="48"/>
      <c r="E34" s="46">
        <v>6951.4481926500002</v>
      </c>
      <c r="F34">
        <v>797.55</v>
      </c>
      <c r="G34" t="s">
        <v>43</v>
      </c>
      <c r="I34" s="46">
        <v>0</v>
      </c>
      <c r="J34" s="46">
        <v>0</v>
      </c>
      <c r="K34" s="46">
        <v>0</v>
      </c>
      <c r="L34" s="46">
        <v>6951.4481926500002</v>
      </c>
      <c r="M34" s="46">
        <v>0</v>
      </c>
      <c r="N34" s="46">
        <v>0</v>
      </c>
    </row>
    <row r="35" spans="2:14" outlineLevel="1" x14ac:dyDescent="0.25">
      <c r="B35">
        <v>2149</v>
      </c>
      <c r="C35" s="48" t="s">
        <v>48</v>
      </c>
      <c r="D35" s="48"/>
      <c r="E35" s="46">
        <v>6761.8369565217399</v>
      </c>
      <c r="F35">
        <v>797.55</v>
      </c>
      <c r="G35" t="s">
        <v>43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v>6761.8369565217399</v>
      </c>
    </row>
    <row r="36" spans="2:14" outlineLevel="1" x14ac:dyDescent="0.25">
      <c r="B36">
        <v>2150</v>
      </c>
      <c r="C36" s="48" t="s">
        <v>38</v>
      </c>
      <c r="D36" s="48"/>
      <c r="E36" s="46">
        <v>6761.8369565217399</v>
      </c>
      <c r="F36">
        <v>797.55</v>
      </c>
      <c r="G36" t="s">
        <v>43</v>
      </c>
      <c r="I36" s="46">
        <v>0</v>
      </c>
      <c r="J36" s="46">
        <v>0</v>
      </c>
      <c r="K36" s="46">
        <v>0</v>
      </c>
      <c r="L36" s="46">
        <v>0</v>
      </c>
      <c r="M36" s="46">
        <v>0</v>
      </c>
      <c r="N36" s="46">
        <v>6761.8369565217399</v>
      </c>
    </row>
    <row r="37" spans="2:14" outlineLevel="1" x14ac:dyDescent="0.25">
      <c r="B37">
        <v>2490</v>
      </c>
      <c r="C37" s="48" t="s">
        <v>37</v>
      </c>
      <c r="D37" s="48"/>
      <c r="E37" s="46">
        <v>2392.65</v>
      </c>
      <c r="F37">
        <v>797.55</v>
      </c>
      <c r="G37" t="s">
        <v>43</v>
      </c>
      <c r="I37" s="46">
        <v>0</v>
      </c>
      <c r="J37" s="46">
        <v>0</v>
      </c>
      <c r="K37" s="46">
        <v>0</v>
      </c>
      <c r="L37" s="46">
        <v>2392.65</v>
      </c>
      <c r="M37" s="46">
        <v>0</v>
      </c>
      <c r="N37" s="46">
        <v>0</v>
      </c>
    </row>
    <row r="38" spans="2:14" outlineLevel="1" x14ac:dyDescent="0.25">
      <c r="C38" s="47" t="s">
        <v>135</v>
      </c>
      <c r="D38" s="47"/>
      <c r="E38" s="46">
        <v>32781.998742566597</v>
      </c>
      <c r="F38">
        <v>1069</v>
      </c>
      <c r="G38" t="s">
        <v>40</v>
      </c>
      <c r="I38" s="46">
        <v>0</v>
      </c>
      <c r="J38" s="46">
        <v>13417.5893342332</v>
      </c>
      <c r="K38" s="46">
        <v>17686.605</v>
      </c>
      <c r="L38" s="46">
        <v>648.268325</v>
      </c>
      <c r="M38" s="46">
        <v>0</v>
      </c>
      <c r="N38" s="46">
        <v>1029.53608333333</v>
      </c>
    </row>
    <row r="39" spans="2:14" outlineLevel="1" x14ac:dyDescent="0.25">
      <c r="B39">
        <v>2450</v>
      </c>
      <c r="C39" s="48" t="s">
        <v>131</v>
      </c>
      <c r="D39" s="48"/>
      <c r="E39" s="46">
        <v>31104.194334233202</v>
      </c>
      <c r="F39">
        <v>1069</v>
      </c>
      <c r="G39" t="s">
        <v>40</v>
      </c>
      <c r="I39" s="46">
        <v>0</v>
      </c>
      <c r="J39" s="46">
        <v>13417.5893342332</v>
      </c>
      <c r="K39" s="46">
        <v>17686.605</v>
      </c>
      <c r="L39" s="46">
        <v>0</v>
      </c>
      <c r="M39" s="46">
        <v>0</v>
      </c>
      <c r="N39" s="46">
        <v>0</v>
      </c>
    </row>
    <row r="40" spans="2:14" outlineLevel="1" x14ac:dyDescent="0.25">
      <c r="B40">
        <v>2490</v>
      </c>
      <c r="C40" s="48" t="s">
        <v>37</v>
      </c>
      <c r="D40" s="48"/>
      <c r="E40" s="46">
        <v>648.268325</v>
      </c>
      <c r="F40">
        <v>67.881500000000003</v>
      </c>
      <c r="G40" t="s">
        <v>43</v>
      </c>
      <c r="I40" s="46">
        <v>0</v>
      </c>
      <c r="J40" s="46">
        <v>0</v>
      </c>
      <c r="K40" s="46">
        <v>0</v>
      </c>
      <c r="L40" s="46">
        <v>648.268325</v>
      </c>
      <c r="M40" s="46">
        <v>0</v>
      </c>
      <c r="N40" s="46">
        <v>0</v>
      </c>
    </row>
    <row r="41" spans="2:14" outlineLevel="1" x14ac:dyDescent="0.25">
      <c r="B41">
        <v>2150</v>
      </c>
      <c r="C41" s="48" t="s">
        <v>38</v>
      </c>
      <c r="D41" s="48"/>
      <c r="E41" s="46">
        <v>1029.53608333333</v>
      </c>
      <c r="F41">
        <v>67.881500000000003</v>
      </c>
      <c r="G41" t="s">
        <v>43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v>1029.53608333333</v>
      </c>
    </row>
    <row r="42" spans="2:14" outlineLevel="1" x14ac:dyDescent="0.25">
      <c r="C42" s="47" t="s">
        <v>136</v>
      </c>
      <c r="D42" s="47"/>
      <c r="E42" s="46">
        <v>2652.0203493641602</v>
      </c>
      <c r="F42">
        <v>12</v>
      </c>
      <c r="G42" t="s">
        <v>39</v>
      </c>
      <c r="I42" s="46">
        <v>0</v>
      </c>
      <c r="J42" s="46">
        <v>1084.6703493641601</v>
      </c>
      <c r="K42" s="46">
        <v>1493.2</v>
      </c>
      <c r="L42" s="46">
        <v>28.65</v>
      </c>
      <c r="M42" s="46">
        <v>0</v>
      </c>
      <c r="N42" s="46">
        <v>45.5</v>
      </c>
    </row>
    <row r="43" spans="2:14" outlineLevel="1" x14ac:dyDescent="0.25">
      <c r="B43">
        <v>2435</v>
      </c>
      <c r="C43" s="48" t="s">
        <v>137</v>
      </c>
      <c r="D43" s="48"/>
      <c r="E43" s="46">
        <v>2577.8703493641601</v>
      </c>
      <c r="F43">
        <v>12</v>
      </c>
      <c r="G43" t="s">
        <v>39</v>
      </c>
      <c r="I43" s="46">
        <v>0</v>
      </c>
      <c r="J43" s="46">
        <v>1084.6703493641601</v>
      </c>
      <c r="K43" s="46">
        <v>1493.2</v>
      </c>
      <c r="L43" s="46">
        <v>0</v>
      </c>
      <c r="M43" s="46">
        <v>0</v>
      </c>
      <c r="N43" s="46">
        <v>0</v>
      </c>
    </row>
    <row r="44" spans="2:14" outlineLevel="1" x14ac:dyDescent="0.25">
      <c r="B44">
        <v>2490</v>
      </c>
      <c r="C44" s="48" t="s">
        <v>37</v>
      </c>
      <c r="D44" s="48"/>
      <c r="E44" s="46">
        <v>28.65</v>
      </c>
      <c r="F44">
        <v>3</v>
      </c>
      <c r="G44" t="s">
        <v>43</v>
      </c>
      <c r="I44" s="46">
        <v>0</v>
      </c>
      <c r="J44" s="46">
        <v>0</v>
      </c>
      <c r="K44" s="46">
        <v>0</v>
      </c>
      <c r="L44" s="46">
        <v>28.65</v>
      </c>
      <c r="M44" s="46">
        <v>0</v>
      </c>
      <c r="N44" s="46">
        <v>0</v>
      </c>
    </row>
    <row r="45" spans="2:14" outlineLevel="1" x14ac:dyDescent="0.25">
      <c r="B45">
        <v>2150</v>
      </c>
      <c r="C45" s="48" t="s">
        <v>38</v>
      </c>
      <c r="D45" s="48"/>
      <c r="E45" s="46">
        <v>45.5</v>
      </c>
      <c r="F45">
        <v>3</v>
      </c>
      <c r="G45" t="s">
        <v>43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45.5</v>
      </c>
    </row>
    <row r="46" spans="2:14" outlineLevel="1" x14ac:dyDescent="0.25">
      <c r="C46" s="47" t="s">
        <v>138</v>
      </c>
      <c r="D46" s="47"/>
      <c r="E46" s="46">
        <v>2446.8077691086501</v>
      </c>
      <c r="F46">
        <v>5</v>
      </c>
      <c r="G46" t="s">
        <v>39</v>
      </c>
      <c r="I46" s="46">
        <v>0</v>
      </c>
      <c r="J46" s="46">
        <v>1850.68095751445</v>
      </c>
      <c r="K46" s="46">
        <v>567.5</v>
      </c>
      <c r="L46" s="46">
        <v>25</v>
      </c>
      <c r="M46" s="46">
        <v>0</v>
      </c>
      <c r="N46" s="46">
        <v>3.6268115942028998</v>
      </c>
    </row>
    <row r="47" spans="2:14" outlineLevel="1" x14ac:dyDescent="0.25">
      <c r="B47">
        <v>2400</v>
      </c>
      <c r="C47" s="48" t="s">
        <v>139</v>
      </c>
      <c r="D47" s="48"/>
      <c r="E47" s="46">
        <v>2418.1809575144498</v>
      </c>
      <c r="F47">
        <v>1</v>
      </c>
      <c r="G47" t="s">
        <v>34</v>
      </c>
      <c r="I47" s="46">
        <v>0</v>
      </c>
      <c r="J47" s="46">
        <v>1850.68095751445</v>
      </c>
      <c r="K47" s="46">
        <v>567.5</v>
      </c>
      <c r="L47" s="46">
        <v>0</v>
      </c>
      <c r="M47" s="46">
        <v>0</v>
      </c>
      <c r="N47" s="46">
        <v>0</v>
      </c>
    </row>
    <row r="48" spans="2:14" outlineLevel="1" x14ac:dyDescent="0.25">
      <c r="B48">
        <v>2490</v>
      </c>
      <c r="C48" s="48" t="s">
        <v>37</v>
      </c>
      <c r="D48" s="48"/>
      <c r="E48" s="46">
        <v>25</v>
      </c>
      <c r="F48">
        <v>0.5</v>
      </c>
      <c r="G48" t="s">
        <v>43</v>
      </c>
      <c r="I48" s="46">
        <v>0</v>
      </c>
      <c r="J48" s="46">
        <v>0</v>
      </c>
      <c r="K48" s="46">
        <v>0</v>
      </c>
      <c r="L48" s="46">
        <v>25</v>
      </c>
      <c r="M48" s="46">
        <v>0</v>
      </c>
      <c r="N48" s="46">
        <v>0</v>
      </c>
    </row>
    <row r="49" spans="2:14" outlineLevel="1" x14ac:dyDescent="0.25">
      <c r="B49">
        <v>2150</v>
      </c>
      <c r="C49" s="48" t="s">
        <v>38</v>
      </c>
      <c r="D49" s="48"/>
      <c r="E49" s="46">
        <v>3.6268115942028998</v>
      </c>
      <c r="F49">
        <v>0.5</v>
      </c>
      <c r="G49" t="s">
        <v>43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v>3.6268115942028998</v>
      </c>
    </row>
    <row r="50" spans="2:14" outlineLevel="1" x14ac:dyDescent="0.25">
      <c r="C50" s="47" t="s">
        <v>140</v>
      </c>
      <c r="D50" s="47"/>
      <c r="E50" s="46">
        <v>1253.00325379272</v>
      </c>
      <c r="F50">
        <v>1</v>
      </c>
      <c r="G50" t="s">
        <v>39</v>
      </c>
      <c r="I50" s="46">
        <v>0</v>
      </c>
      <c r="J50" s="46">
        <v>406.75138101156102</v>
      </c>
      <c r="K50" s="46">
        <v>402</v>
      </c>
      <c r="L50" s="46">
        <v>170.02723510000001</v>
      </c>
      <c r="M50" s="46">
        <v>0</v>
      </c>
      <c r="N50" s="46">
        <v>274.22463768115898</v>
      </c>
    </row>
    <row r="51" spans="2:14" outlineLevel="1" x14ac:dyDescent="0.25">
      <c r="B51">
        <v>2456</v>
      </c>
      <c r="C51" s="48" t="s">
        <v>141</v>
      </c>
      <c r="D51" s="48"/>
      <c r="E51" s="46">
        <v>808.75138101156097</v>
      </c>
      <c r="F51">
        <v>1</v>
      </c>
      <c r="G51" t="s">
        <v>39</v>
      </c>
      <c r="I51" s="46">
        <v>0</v>
      </c>
      <c r="J51" s="46">
        <v>406.75138101156102</v>
      </c>
      <c r="K51" s="46">
        <v>402</v>
      </c>
      <c r="L51" s="46">
        <v>0</v>
      </c>
      <c r="M51" s="46">
        <v>0</v>
      </c>
      <c r="N51" s="46">
        <v>0</v>
      </c>
    </row>
    <row r="52" spans="2:14" outlineLevel="1" x14ac:dyDescent="0.25">
      <c r="B52">
        <v>2490</v>
      </c>
      <c r="C52" s="48" t="s">
        <v>37</v>
      </c>
      <c r="D52" s="48"/>
      <c r="E52" s="46">
        <v>32.950000000000003</v>
      </c>
      <c r="F52">
        <v>5</v>
      </c>
      <c r="G52" t="s">
        <v>43</v>
      </c>
      <c r="I52" s="46">
        <v>0</v>
      </c>
      <c r="J52" s="46">
        <v>0</v>
      </c>
      <c r="K52" s="46">
        <v>0</v>
      </c>
      <c r="L52" s="46">
        <v>32.950000000000003</v>
      </c>
      <c r="M52" s="46">
        <v>0</v>
      </c>
      <c r="N52" s="46">
        <v>0</v>
      </c>
    </row>
    <row r="53" spans="2:14" outlineLevel="1" x14ac:dyDescent="0.25">
      <c r="B53">
        <v>2150</v>
      </c>
      <c r="C53" s="48" t="s">
        <v>38</v>
      </c>
      <c r="D53" s="48"/>
      <c r="E53" s="46">
        <v>75.8333333333333</v>
      </c>
      <c r="F53">
        <v>5</v>
      </c>
      <c r="G53" t="s">
        <v>43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v>75.8333333333333</v>
      </c>
    </row>
    <row r="54" spans="2:14" outlineLevel="1" x14ac:dyDescent="0.25">
      <c r="B54">
        <v>2172</v>
      </c>
      <c r="C54" s="48" t="s">
        <v>133</v>
      </c>
      <c r="D54" s="48"/>
      <c r="E54" s="46">
        <v>101.9772351</v>
      </c>
      <c r="F54">
        <v>11.7</v>
      </c>
      <c r="G54" t="s">
        <v>43</v>
      </c>
      <c r="I54" s="46">
        <v>0</v>
      </c>
      <c r="J54" s="46">
        <v>0</v>
      </c>
      <c r="K54" s="46">
        <v>0</v>
      </c>
      <c r="L54" s="46">
        <v>101.9772351</v>
      </c>
      <c r="M54" s="46">
        <v>0</v>
      </c>
      <c r="N54" s="46">
        <v>0</v>
      </c>
    </row>
    <row r="55" spans="2:14" outlineLevel="1" x14ac:dyDescent="0.25">
      <c r="B55">
        <v>2149</v>
      </c>
      <c r="C55" s="48" t="s">
        <v>48</v>
      </c>
      <c r="D55" s="48"/>
      <c r="E55" s="46">
        <v>99.195652173913004</v>
      </c>
      <c r="F55">
        <v>11.7</v>
      </c>
      <c r="G55" t="s">
        <v>43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99.195652173913004</v>
      </c>
    </row>
    <row r="56" spans="2:14" outlineLevel="1" x14ac:dyDescent="0.25">
      <c r="B56">
        <v>2150</v>
      </c>
      <c r="C56" s="48" t="s">
        <v>38</v>
      </c>
      <c r="D56" s="48"/>
      <c r="E56" s="46">
        <v>99.195652173913004</v>
      </c>
      <c r="F56">
        <v>11.7</v>
      </c>
      <c r="G56" t="s">
        <v>43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v>99.195652173913004</v>
      </c>
    </row>
    <row r="57" spans="2:14" outlineLevel="1" x14ac:dyDescent="0.25">
      <c r="B57">
        <v>2490</v>
      </c>
      <c r="C57" s="48" t="s">
        <v>37</v>
      </c>
      <c r="D57" s="48"/>
      <c r="E57" s="46">
        <v>35.1</v>
      </c>
      <c r="F57">
        <v>11.7</v>
      </c>
      <c r="G57" t="s">
        <v>43</v>
      </c>
      <c r="I57" s="46">
        <v>0</v>
      </c>
      <c r="J57" s="46">
        <v>0</v>
      </c>
      <c r="K57" s="46">
        <v>0</v>
      </c>
      <c r="L57" s="46">
        <v>35.1</v>
      </c>
      <c r="M57" s="46">
        <v>0</v>
      </c>
      <c r="N57" s="46">
        <v>0</v>
      </c>
    </row>
    <row r="58" spans="2:14" outlineLevel="1" x14ac:dyDescent="0.25">
      <c r="C58" s="47" t="s">
        <v>142</v>
      </c>
      <c r="D58" s="47"/>
      <c r="E58" s="46">
        <v>2601.6698890269699</v>
      </c>
      <c r="F58">
        <v>7</v>
      </c>
      <c r="G58" t="s">
        <v>39</v>
      </c>
      <c r="I58" s="46">
        <v>0</v>
      </c>
      <c r="J58" s="46">
        <v>949.08655569364203</v>
      </c>
      <c r="K58" s="46">
        <v>1306.55</v>
      </c>
      <c r="L58" s="46">
        <v>133.69999999999999</v>
      </c>
      <c r="M58" s="46">
        <v>0</v>
      </c>
      <c r="N58" s="46">
        <v>212.333333333333</v>
      </c>
    </row>
    <row r="59" spans="2:14" outlineLevel="1" x14ac:dyDescent="0.25">
      <c r="B59">
        <v>2456</v>
      </c>
      <c r="C59" s="48" t="s">
        <v>141</v>
      </c>
      <c r="D59" s="48"/>
      <c r="E59" s="46">
        <v>2255.6365556936398</v>
      </c>
      <c r="F59">
        <v>7</v>
      </c>
      <c r="G59" t="s">
        <v>39</v>
      </c>
      <c r="I59" s="46">
        <v>0</v>
      </c>
      <c r="J59" s="46">
        <v>949.08655569364203</v>
      </c>
      <c r="K59" s="46">
        <v>1306.55</v>
      </c>
      <c r="L59" s="46">
        <v>0</v>
      </c>
      <c r="M59" s="46">
        <v>0</v>
      </c>
      <c r="N59" s="46">
        <v>0</v>
      </c>
    </row>
    <row r="60" spans="2:14" outlineLevel="1" x14ac:dyDescent="0.25">
      <c r="B60">
        <v>2490</v>
      </c>
      <c r="C60" s="48" t="s">
        <v>37</v>
      </c>
      <c r="D60" s="48"/>
      <c r="E60" s="46">
        <v>133.69999999999999</v>
      </c>
      <c r="F60">
        <v>7</v>
      </c>
      <c r="G60" t="s">
        <v>43</v>
      </c>
      <c r="I60" s="46">
        <v>0</v>
      </c>
      <c r="J60" s="46">
        <v>0</v>
      </c>
      <c r="K60" s="46">
        <v>0</v>
      </c>
      <c r="L60" s="46">
        <v>133.69999999999999</v>
      </c>
      <c r="M60" s="46">
        <v>0</v>
      </c>
      <c r="N60" s="46">
        <v>0</v>
      </c>
    </row>
    <row r="61" spans="2:14" outlineLevel="1" x14ac:dyDescent="0.25">
      <c r="B61">
        <v>2150</v>
      </c>
      <c r="C61" s="48" t="s">
        <v>38</v>
      </c>
      <c r="D61" s="48"/>
      <c r="E61" s="46">
        <v>212.333333333333</v>
      </c>
      <c r="F61">
        <v>7</v>
      </c>
      <c r="G61" t="s">
        <v>43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v>212.333333333333</v>
      </c>
    </row>
    <row r="62" spans="2:14" outlineLevel="1" x14ac:dyDescent="0.25">
      <c r="C62" s="47" t="s">
        <v>143</v>
      </c>
      <c r="D62" s="47"/>
      <c r="E62" s="46">
        <v>5217.7985717244701</v>
      </c>
      <c r="F62">
        <v>5</v>
      </c>
      <c r="G62" t="s">
        <v>39</v>
      </c>
      <c r="I62" s="46">
        <v>0</v>
      </c>
      <c r="J62" s="46">
        <v>2033.7569050577999</v>
      </c>
      <c r="K62" s="46">
        <v>2010</v>
      </c>
      <c r="L62" s="46">
        <v>453.625</v>
      </c>
      <c r="M62" s="46">
        <v>0</v>
      </c>
      <c r="N62" s="46">
        <v>720.41666666666697</v>
      </c>
    </row>
    <row r="63" spans="2:14" outlineLevel="1" x14ac:dyDescent="0.25">
      <c r="B63">
        <v>2455</v>
      </c>
      <c r="C63" s="48" t="s">
        <v>144</v>
      </c>
      <c r="D63" s="48"/>
      <c r="E63" s="46">
        <v>4043.7569050577999</v>
      </c>
      <c r="F63">
        <v>5</v>
      </c>
      <c r="G63" t="s">
        <v>39</v>
      </c>
      <c r="I63" s="46">
        <v>0</v>
      </c>
      <c r="J63" s="46">
        <v>2033.7569050577999</v>
      </c>
      <c r="K63" s="46">
        <v>2010</v>
      </c>
      <c r="L63" s="46">
        <v>0</v>
      </c>
      <c r="M63" s="46">
        <v>0</v>
      </c>
      <c r="N63" s="46">
        <v>0</v>
      </c>
    </row>
    <row r="64" spans="2:14" outlineLevel="1" x14ac:dyDescent="0.25">
      <c r="B64">
        <v>2490</v>
      </c>
      <c r="C64" s="48" t="s">
        <v>37</v>
      </c>
      <c r="D64" s="48"/>
      <c r="E64" s="46">
        <v>453.625</v>
      </c>
      <c r="F64">
        <v>47.5</v>
      </c>
      <c r="G64" t="s">
        <v>43</v>
      </c>
      <c r="I64" s="46">
        <v>0</v>
      </c>
      <c r="J64" s="46">
        <v>0</v>
      </c>
      <c r="K64" s="46">
        <v>0</v>
      </c>
      <c r="L64" s="46">
        <v>453.625</v>
      </c>
      <c r="M64" s="46">
        <v>0</v>
      </c>
      <c r="N64" s="46">
        <v>0</v>
      </c>
    </row>
    <row r="65" spans="2:14" outlineLevel="1" x14ac:dyDescent="0.25">
      <c r="B65">
        <v>2150</v>
      </c>
      <c r="C65" s="48" t="s">
        <v>38</v>
      </c>
      <c r="D65" s="48"/>
      <c r="E65" s="46">
        <v>720.41666666666697</v>
      </c>
      <c r="F65">
        <v>47.5</v>
      </c>
      <c r="G65" t="s">
        <v>43</v>
      </c>
      <c r="I65" s="46">
        <v>0</v>
      </c>
      <c r="J65" s="46">
        <v>0</v>
      </c>
      <c r="K65" s="46">
        <v>0</v>
      </c>
      <c r="L65" s="46">
        <v>0</v>
      </c>
      <c r="M65" s="46">
        <v>0</v>
      </c>
      <c r="N65" s="46">
        <v>720.41666666666697</v>
      </c>
    </row>
    <row r="66" spans="2:14" outlineLevel="1" x14ac:dyDescent="0.25">
      <c r="C66" s="47" t="s">
        <v>145</v>
      </c>
      <c r="D66" s="47"/>
      <c r="E66" s="46">
        <v>1298.5390768775201</v>
      </c>
      <c r="F66">
        <v>2</v>
      </c>
      <c r="G66" t="s">
        <v>39</v>
      </c>
      <c r="H66" s="46"/>
      <c r="I66" s="46">
        <v>0</v>
      </c>
      <c r="J66" s="46">
        <v>555.20428725433499</v>
      </c>
      <c r="K66" s="46">
        <v>170.25</v>
      </c>
      <c r="L66" s="46">
        <v>340.59203600000001</v>
      </c>
      <c r="M66" s="46">
        <v>0</v>
      </c>
      <c r="N66" s="46">
        <v>232.49275362318801</v>
      </c>
    </row>
    <row r="67" spans="2:14" outlineLevel="1" x14ac:dyDescent="0.25">
      <c r="B67">
        <v>2400</v>
      </c>
      <c r="C67" s="48" t="s">
        <v>139</v>
      </c>
      <c r="D67" s="48"/>
      <c r="E67" s="46">
        <v>725.45428725433499</v>
      </c>
      <c r="F67">
        <v>1</v>
      </c>
      <c r="G67" t="s">
        <v>34</v>
      </c>
      <c r="I67" s="46">
        <v>0</v>
      </c>
      <c r="J67" s="46">
        <v>555.20428725433499</v>
      </c>
      <c r="K67" s="46">
        <v>170.25</v>
      </c>
      <c r="L67" s="46">
        <v>0</v>
      </c>
      <c r="M67" s="46">
        <v>0</v>
      </c>
      <c r="N67" s="46">
        <v>0</v>
      </c>
    </row>
    <row r="68" spans="2:14" outlineLevel="1" x14ac:dyDescent="0.25">
      <c r="B68">
        <v>2490</v>
      </c>
      <c r="C68" s="48" t="s">
        <v>37</v>
      </c>
      <c r="D68" s="48"/>
      <c r="E68" s="46">
        <v>200</v>
      </c>
      <c r="F68">
        <v>4</v>
      </c>
      <c r="G68" t="s">
        <v>43</v>
      </c>
      <c r="I68" s="46">
        <v>0</v>
      </c>
      <c r="J68" s="46">
        <v>0</v>
      </c>
      <c r="K68" s="46">
        <v>0</v>
      </c>
      <c r="L68" s="46">
        <v>200</v>
      </c>
      <c r="M68" s="46">
        <v>0</v>
      </c>
      <c r="N68" s="46">
        <v>0</v>
      </c>
    </row>
    <row r="69" spans="2:14" outlineLevel="1" x14ac:dyDescent="0.25">
      <c r="B69">
        <v>2150</v>
      </c>
      <c r="C69" s="48" t="s">
        <v>38</v>
      </c>
      <c r="D69" s="48"/>
      <c r="E69" s="46">
        <v>29.014492753623198</v>
      </c>
      <c r="F69">
        <v>4</v>
      </c>
      <c r="G69" t="s">
        <v>43</v>
      </c>
      <c r="I69" s="46">
        <v>0</v>
      </c>
      <c r="J69" s="46">
        <v>0</v>
      </c>
      <c r="K69" s="46">
        <v>0</v>
      </c>
      <c r="L69" s="46">
        <v>0</v>
      </c>
      <c r="M69" s="46">
        <v>0</v>
      </c>
      <c r="N69" s="46">
        <v>29.014492753623198</v>
      </c>
    </row>
    <row r="70" spans="2:14" outlineLevel="1" x14ac:dyDescent="0.25">
      <c r="B70">
        <v>2172</v>
      </c>
      <c r="C70" s="48" t="s">
        <v>133</v>
      </c>
      <c r="D70" s="48"/>
      <c r="E70" s="46">
        <v>104.59203599999999</v>
      </c>
      <c r="F70">
        <v>12</v>
      </c>
      <c r="G70" t="s">
        <v>43</v>
      </c>
      <c r="I70" s="46">
        <v>0</v>
      </c>
      <c r="J70" s="46">
        <v>0</v>
      </c>
      <c r="K70" s="46">
        <v>0</v>
      </c>
      <c r="L70" s="46">
        <v>104.59203599999999</v>
      </c>
      <c r="M70" s="46">
        <v>0</v>
      </c>
      <c r="N70" s="46">
        <v>0</v>
      </c>
    </row>
    <row r="71" spans="2:14" outlineLevel="1" x14ac:dyDescent="0.25">
      <c r="B71">
        <v>2149</v>
      </c>
      <c r="C71" s="48" t="s">
        <v>48</v>
      </c>
      <c r="D71" s="48"/>
      <c r="E71" s="46">
        <v>101.73913043478299</v>
      </c>
      <c r="F71">
        <v>12</v>
      </c>
      <c r="G71" t="s">
        <v>43</v>
      </c>
      <c r="I71" s="46">
        <v>0</v>
      </c>
      <c r="J71" s="46">
        <v>0</v>
      </c>
      <c r="K71" s="46">
        <v>0</v>
      </c>
      <c r="L71" s="46">
        <v>0</v>
      </c>
      <c r="M71" s="46">
        <v>0</v>
      </c>
      <c r="N71" s="46">
        <v>101.73913043478299</v>
      </c>
    </row>
    <row r="72" spans="2:14" outlineLevel="1" x14ac:dyDescent="0.25">
      <c r="B72">
        <v>2150</v>
      </c>
      <c r="C72" s="48" t="s">
        <v>38</v>
      </c>
      <c r="D72" s="48"/>
      <c r="E72" s="46">
        <v>101.73913043478299</v>
      </c>
      <c r="F72">
        <v>12</v>
      </c>
      <c r="G72" t="s">
        <v>43</v>
      </c>
      <c r="I72" s="46">
        <v>0</v>
      </c>
      <c r="J72" s="46">
        <v>0</v>
      </c>
      <c r="K72" s="46">
        <v>0</v>
      </c>
      <c r="L72" s="46">
        <v>0</v>
      </c>
      <c r="M72" s="46">
        <v>0</v>
      </c>
      <c r="N72" s="46">
        <v>101.73913043478299</v>
      </c>
    </row>
    <row r="73" spans="2:14" outlineLevel="1" x14ac:dyDescent="0.25">
      <c r="B73">
        <v>2490</v>
      </c>
      <c r="C73" s="48" t="s">
        <v>37</v>
      </c>
      <c r="D73" s="48"/>
      <c r="E73" s="46">
        <v>36</v>
      </c>
      <c r="F73">
        <v>12</v>
      </c>
      <c r="G73" t="s">
        <v>43</v>
      </c>
      <c r="I73" s="46">
        <v>0</v>
      </c>
      <c r="J73" s="46">
        <v>0</v>
      </c>
      <c r="K73" s="46">
        <v>0</v>
      </c>
      <c r="L73" s="46">
        <v>36</v>
      </c>
      <c r="M73" s="46">
        <v>0</v>
      </c>
      <c r="N73" s="46">
        <v>0</v>
      </c>
    </row>
    <row r="74" spans="2:14" outlineLevel="1" x14ac:dyDescent="0.25">
      <c r="C74" s="47" t="s">
        <v>146</v>
      </c>
      <c r="D74" s="47"/>
      <c r="E74" s="46">
        <v>991.41804767822703</v>
      </c>
      <c r="F74">
        <v>4</v>
      </c>
      <c r="G74" t="s">
        <v>39</v>
      </c>
      <c r="I74" s="46">
        <v>0</v>
      </c>
      <c r="J74" s="46">
        <v>406.75138101156102</v>
      </c>
      <c r="K74" s="46">
        <v>559.95000000000005</v>
      </c>
      <c r="L74" s="46">
        <v>9.5500000000000007</v>
      </c>
      <c r="M74" s="46">
        <v>0</v>
      </c>
      <c r="N74" s="46">
        <v>15.1666666666667</v>
      </c>
    </row>
    <row r="75" spans="2:14" outlineLevel="1" x14ac:dyDescent="0.25">
      <c r="B75">
        <v>2435</v>
      </c>
      <c r="C75" s="48" t="s">
        <v>137</v>
      </c>
      <c r="D75" s="48"/>
      <c r="E75" s="46">
        <v>966.70138101156101</v>
      </c>
      <c r="F75">
        <v>4</v>
      </c>
      <c r="G75" t="s">
        <v>39</v>
      </c>
      <c r="I75" s="46">
        <v>0</v>
      </c>
      <c r="J75" s="46">
        <v>406.75138101156102</v>
      </c>
      <c r="K75" s="46">
        <v>559.95000000000005</v>
      </c>
      <c r="L75" s="46">
        <v>0</v>
      </c>
      <c r="M75" s="46">
        <v>0</v>
      </c>
      <c r="N75" s="46">
        <v>0</v>
      </c>
    </row>
    <row r="76" spans="2:14" outlineLevel="1" x14ac:dyDescent="0.25">
      <c r="B76">
        <v>2490</v>
      </c>
      <c r="C76" s="48" t="s">
        <v>37</v>
      </c>
      <c r="D76" s="48"/>
      <c r="E76" s="46">
        <v>9.5500000000000007</v>
      </c>
      <c r="F76">
        <v>1</v>
      </c>
      <c r="G76" t="s">
        <v>43</v>
      </c>
      <c r="I76" s="46">
        <v>0</v>
      </c>
      <c r="J76" s="46">
        <v>0</v>
      </c>
      <c r="K76" s="46">
        <v>0</v>
      </c>
      <c r="L76" s="46">
        <v>9.5500000000000007</v>
      </c>
      <c r="M76" s="46">
        <v>0</v>
      </c>
      <c r="N76" s="46">
        <v>0</v>
      </c>
    </row>
    <row r="77" spans="2:14" outlineLevel="1" x14ac:dyDescent="0.25">
      <c r="B77">
        <v>2150</v>
      </c>
      <c r="C77" s="48" t="s">
        <v>38</v>
      </c>
      <c r="D77" s="48"/>
      <c r="E77" s="46">
        <v>15.1666666666667</v>
      </c>
      <c r="F77">
        <v>1</v>
      </c>
      <c r="G77" t="s">
        <v>43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v>15.1666666666667</v>
      </c>
    </row>
    <row r="78" spans="2:14" outlineLevel="1" x14ac:dyDescent="0.25">
      <c r="C78" s="47" t="s">
        <v>147</v>
      </c>
      <c r="D78" s="47"/>
      <c r="E78" s="46">
        <v>4941.0500934636002</v>
      </c>
      <c r="F78">
        <v>32</v>
      </c>
      <c r="G78" t="s">
        <v>39</v>
      </c>
      <c r="I78" s="46">
        <v>0</v>
      </c>
      <c r="J78" s="46">
        <v>2033.7569050577999</v>
      </c>
      <c r="K78" s="46">
        <v>2799.75</v>
      </c>
      <c r="L78" s="46">
        <v>61.12</v>
      </c>
      <c r="M78" s="46">
        <v>0</v>
      </c>
      <c r="N78" s="46">
        <v>46.423188405797099</v>
      </c>
    </row>
    <row r="79" spans="2:14" outlineLevel="1" x14ac:dyDescent="0.25">
      <c r="B79">
        <v>2400</v>
      </c>
      <c r="C79" s="48" t="s">
        <v>139</v>
      </c>
      <c r="D79" s="48"/>
      <c r="E79" s="46">
        <v>4833.5069050578004</v>
      </c>
      <c r="F79">
        <v>1</v>
      </c>
      <c r="G79" t="s">
        <v>34</v>
      </c>
      <c r="H79" s="46"/>
      <c r="I79" s="46">
        <v>0</v>
      </c>
      <c r="J79" s="46">
        <v>2033.7569050577999</v>
      </c>
      <c r="K79" s="46">
        <v>2799.75</v>
      </c>
      <c r="L79" s="46">
        <v>0</v>
      </c>
      <c r="M79" s="46">
        <v>0</v>
      </c>
      <c r="N79" s="46">
        <v>0</v>
      </c>
    </row>
    <row r="80" spans="2:14" outlineLevel="1" x14ac:dyDescent="0.25">
      <c r="B80">
        <v>2490</v>
      </c>
      <c r="C80" s="48" t="s">
        <v>37</v>
      </c>
      <c r="D80" s="48"/>
      <c r="E80" s="46">
        <v>61.12</v>
      </c>
      <c r="F80">
        <v>6.4</v>
      </c>
      <c r="G80" t="s">
        <v>43</v>
      </c>
      <c r="I80" s="46">
        <v>0</v>
      </c>
      <c r="J80" s="46">
        <v>0</v>
      </c>
      <c r="K80" s="46">
        <v>0</v>
      </c>
      <c r="L80" s="46">
        <v>61.12</v>
      </c>
      <c r="M80" s="46">
        <v>0</v>
      </c>
      <c r="N80" s="46">
        <v>0</v>
      </c>
    </row>
    <row r="81" spans="1:14" outlineLevel="1" x14ac:dyDescent="0.25">
      <c r="B81">
        <v>2150</v>
      </c>
      <c r="C81" s="48" t="s">
        <v>38</v>
      </c>
      <c r="D81" s="48"/>
      <c r="E81" s="46">
        <v>46.423188405797099</v>
      </c>
      <c r="F81">
        <v>6.4</v>
      </c>
      <c r="G81" t="s">
        <v>43</v>
      </c>
      <c r="I81" s="46">
        <v>0</v>
      </c>
      <c r="J81" s="46">
        <v>0</v>
      </c>
      <c r="K81" s="46">
        <v>0</v>
      </c>
      <c r="L81" s="46">
        <v>0</v>
      </c>
      <c r="M81" s="46">
        <v>0</v>
      </c>
      <c r="N81" s="46">
        <v>46.423188405797099</v>
      </c>
    </row>
    <row r="82" spans="1:14" x14ac:dyDescent="0.25">
      <c r="A82">
        <v>3</v>
      </c>
      <c r="C82" t="s">
        <v>87</v>
      </c>
      <c r="E82" s="46">
        <v>912203.66856791999</v>
      </c>
      <c r="F82">
        <v>1</v>
      </c>
      <c r="G82" t="s">
        <v>34</v>
      </c>
      <c r="H82" s="46">
        <v>1267100</v>
      </c>
      <c r="I82" s="46">
        <v>0</v>
      </c>
      <c r="J82" s="46">
        <v>100773.175760782</v>
      </c>
      <c r="K82" s="46">
        <v>227535.15916865101</v>
      </c>
      <c r="L82" s="46">
        <v>156571.4858124</v>
      </c>
      <c r="M82" s="46">
        <v>0</v>
      </c>
      <c r="N82" s="46">
        <v>427323.84782608697</v>
      </c>
    </row>
    <row r="83" spans="1:14" outlineLevel="1" x14ac:dyDescent="0.25">
      <c r="C83" s="47" t="s">
        <v>148</v>
      </c>
      <c r="D83" s="47"/>
      <c r="E83" s="46">
        <v>16412.940178364999</v>
      </c>
      <c r="F83">
        <v>4500</v>
      </c>
      <c r="G83" t="s">
        <v>42</v>
      </c>
      <c r="I83" s="46">
        <v>0</v>
      </c>
      <c r="J83" s="46">
        <v>4241.5116069364203</v>
      </c>
      <c r="K83" s="46">
        <v>12171.4285714286</v>
      </c>
      <c r="L83" s="46">
        <v>0</v>
      </c>
      <c r="M83" s="46">
        <v>0</v>
      </c>
      <c r="N83" s="46">
        <v>0</v>
      </c>
    </row>
    <row r="84" spans="1:14" outlineLevel="1" x14ac:dyDescent="0.25">
      <c r="B84">
        <v>2120</v>
      </c>
      <c r="C84" s="48" t="s">
        <v>44</v>
      </c>
      <c r="D84" s="48"/>
      <c r="E84" s="46">
        <v>16412.940178364999</v>
      </c>
      <c r="F84">
        <v>4500</v>
      </c>
      <c r="G84" t="s">
        <v>42</v>
      </c>
      <c r="I84" s="46">
        <v>0</v>
      </c>
      <c r="J84" s="46">
        <v>4241.5116069364203</v>
      </c>
      <c r="K84" s="46">
        <v>12171.4285714286</v>
      </c>
      <c r="L84" s="46">
        <v>0</v>
      </c>
      <c r="M84" s="46">
        <v>0</v>
      </c>
      <c r="N84" s="46">
        <v>0</v>
      </c>
    </row>
    <row r="85" spans="1:14" outlineLevel="1" x14ac:dyDescent="0.25">
      <c r="C85" s="47" t="s">
        <v>149</v>
      </c>
      <c r="D85" s="47"/>
      <c r="E85" s="46">
        <v>29598.113791329499</v>
      </c>
      <c r="F85">
        <v>3033</v>
      </c>
      <c r="G85" t="s">
        <v>42</v>
      </c>
      <c r="I85" s="46">
        <v>0</v>
      </c>
      <c r="J85" s="46">
        <v>6927.8022913294799</v>
      </c>
      <c r="K85" s="46">
        <v>22320</v>
      </c>
      <c r="L85" s="46">
        <v>350.31150000000002</v>
      </c>
      <c r="M85" s="46">
        <v>0</v>
      </c>
      <c r="N85" s="46">
        <v>0</v>
      </c>
    </row>
    <row r="86" spans="1:14" outlineLevel="1" x14ac:dyDescent="0.25">
      <c r="B86">
        <v>2130</v>
      </c>
      <c r="C86" s="48" t="s">
        <v>46</v>
      </c>
      <c r="D86" s="48"/>
      <c r="E86" s="46">
        <v>29598.113791329499</v>
      </c>
      <c r="F86">
        <v>3033</v>
      </c>
      <c r="G86" t="s">
        <v>42</v>
      </c>
      <c r="I86" s="46">
        <v>0</v>
      </c>
      <c r="J86" s="46">
        <v>6927.8022913294799</v>
      </c>
      <c r="K86" s="46">
        <v>22320</v>
      </c>
      <c r="L86" s="46">
        <v>350.31150000000002</v>
      </c>
      <c r="M86" s="46">
        <v>0</v>
      </c>
      <c r="N86" s="46">
        <v>0</v>
      </c>
    </row>
    <row r="87" spans="1:14" outlineLevel="1" x14ac:dyDescent="0.25">
      <c r="C87" s="47" t="s">
        <v>150</v>
      </c>
      <c r="D87" s="47"/>
      <c r="E87" s="46">
        <v>336393.34164867201</v>
      </c>
      <c r="F87">
        <v>9706</v>
      </c>
      <c r="G87" t="s">
        <v>42</v>
      </c>
      <c r="I87" s="46">
        <v>0</v>
      </c>
      <c r="J87" s="46">
        <v>16166.438436271699</v>
      </c>
      <c r="K87" s="46">
        <v>19829.358</v>
      </c>
      <c r="L87" s="46">
        <v>152275.5452124</v>
      </c>
      <c r="M87" s="46">
        <v>0</v>
      </c>
      <c r="N87" s="46">
        <v>148122</v>
      </c>
    </row>
    <row r="88" spans="1:14" outlineLevel="1" x14ac:dyDescent="0.25">
      <c r="B88">
        <v>2129</v>
      </c>
      <c r="C88" s="48" t="s">
        <v>45</v>
      </c>
      <c r="D88" s="48"/>
      <c r="E88" s="46">
        <v>35995.796436271703</v>
      </c>
      <c r="F88">
        <v>17470.8</v>
      </c>
      <c r="G88" t="s">
        <v>43</v>
      </c>
      <c r="I88" s="46">
        <v>0</v>
      </c>
      <c r="J88" s="46">
        <v>16166.438436271699</v>
      </c>
      <c r="K88" s="46">
        <v>19829.358</v>
      </c>
      <c r="L88" s="46">
        <v>0</v>
      </c>
      <c r="M88" s="46">
        <v>0</v>
      </c>
      <c r="N88" s="46">
        <v>0</v>
      </c>
    </row>
    <row r="89" spans="1:14" outlineLevel="1" x14ac:dyDescent="0.25">
      <c r="B89">
        <v>2172</v>
      </c>
      <c r="C89" s="48" t="s">
        <v>133</v>
      </c>
      <c r="D89" s="48"/>
      <c r="E89" s="46">
        <v>152275.5452124</v>
      </c>
      <c r="F89">
        <v>17470.8</v>
      </c>
      <c r="G89" t="s">
        <v>43</v>
      </c>
      <c r="I89" s="46">
        <v>0</v>
      </c>
      <c r="J89" s="46">
        <v>0</v>
      </c>
      <c r="K89" s="46">
        <v>0</v>
      </c>
      <c r="L89" s="46">
        <v>152275.5452124</v>
      </c>
      <c r="M89" s="46">
        <v>0</v>
      </c>
      <c r="N89" s="46">
        <v>0</v>
      </c>
    </row>
    <row r="90" spans="1:14" outlineLevel="1" x14ac:dyDescent="0.25">
      <c r="B90">
        <v>2149</v>
      </c>
      <c r="C90" s="48" t="s">
        <v>48</v>
      </c>
      <c r="D90" s="48"/>
      <c r="E90" s="46">
        <v>148122</v>
      </c>
      <c r="F90">
        <v>17470.8</v>
      </c>
      <c r="G90" t="s">
        <v>43</v>
      </c>
      <c r="I90" s="46">
        <v>0</v>
      </c>
      <c r="J90" s="46">
        <v>0</v>
      </c>
      <c r="K90" s="46">
        <v>0</v>
      </c>
      <c r="L90" s="46">
        <v>0</v>
      </c>
      <c r="M90" s="46">
        <v>0</v>
      </c>
      <c r="N90" s="46">
        <v>148122</v>
      </c>
    </row>
    <row r="91" spans="1:14" outlineLevel="1" x14ac:dyDescent="0.25">
      <c r="C91" s="47" t="s">
        <v>151</v>
      </c>
      <c r="D91" s="47"/>
      <c r="E91" s="46">
        <v>28753.235376897901</v>
      </c>
      <c r="F91">
        <v>309531</v>
      </c>
      <c r="G91" t="s">
        <v>41</v>
      </c>
      <c r="I91" s="46">
        <v>0</v>
      </c>
      <c r="J91" s="46">
        <v>12729.847276897901</v>
      </c>
      <c r="K91" s="46">
        <v>15373.373</v>
      </c>
      <c r="L91" s="46">
        <v>650.01509999999996</v>
      </c>
      <c r="M91" s="46">
        <v>0</v>
      </c>
      <c r="N91" s="46">
        <v>0</v>
      </c>
    </row>
    <row r="92" spans="1:14" outlineLevel="1" x14ac:dyDescent="0.25">
      <c r="B92">
        <v>2135</v>
      </c>
      <c r="C92" s="48" t="s">
        <v>47</v>
      </c>
      <c r="D92" s="48"/>
      <c r="E92" s="46">
        <v>28103.2202768979</v>
      </c>
      <c r="F92">
        <v>309531</v>
      </c>
      <c r="G92" t="s">
        <v>41</v>
      </c>
      <c r="I92" s="46">
        <v>0</v>
      </c>
      <c r="J92" s="46">
        <v>12729.847276897901</v>
      </c>
      <c r="K92" s="46">
        <v>15373.373</v>
      </c>
      <c r="L92" s="46">
        <v>0</v>
      </c>
      <c r="M92" s="46">
        <v>0</v>
      </c>
      <c r="N92" s="46">
        <v>0</v>
      </c>
    </row>
    <row r="93" spans="1:14" outlineLevel="1" x14ac:dyDescent="0.25">
      <c r="B93">
        <v>1410</v>
      </c>
      <c r="C93" s="50" t="s">
        <v>104</v>
      </c>
      <c r="D93" s="50"/>
      <c r="E93" s="46">
        <v>650.01509999999996</v>
      </c>
      <c r="F93">
        <v>185.71860000000001</v>
      </c>
      <c r="G93" t="s">
        <v>105</v>
      </c>
      <c r="I93" s="46">
        <v>0</v>
      </c>
      <c r="J93" s="46">
        <v>0</v>
      </c>
      <c r="K93" s="46">
        <v>0</v>
      </c>
      <c r="L93" s="46">
        <v>650.01509999999996</v>
      </c>
      <c r="M93" s="46">
        <v>0</v>
      </c>
      <c r="N93" s="46">
        <v>0</v>
      </c>
    </row>
    <row r="94" spans="1:14" outlineLevel="1" x14ac:dyDescent="0.25">
      <c r="C94" s="47" t="s">
        <v>152</v>
      </c>
      <c r="D94" s="47"/>
      <c r="E94" s="46">
        <v>14824.062645664701</v>
      </c>
      <c r="F94">
        <v>1733</v>
      </c>
      <c r="G94" t="s">
        <v>42</v>
      </c>
      <c r="I94" s="46">
        <v>0</v>
      </c>
      <c r="J94" s="46">
        <v>3463.9011456647399</v>
      </c>
      <c r="K94" s="46">
        <v>11160</v>
      </c>
      <c r="L94" s="46">
        <v>200.16149999999999</v>
      </c>
      <c r="M94" s="46">
        <v>0</v>
      </c>
      <c r="N94" s="46">
        <v>0</v>
      </c>
    </row>
    <row r="95" spans="1:14" outlineLevel="1" x14ac:dyDescent="0.25">
      <c r="B95">
        <v>2130</v>
      </c>
      <c r="C95" s="48" t="s">
        <v>46</v>
      </c>
      <c r="D95" s="48"/>
      <c r="E95" s="46">
        <v>14824.062645664701</v>
      </c>
      <c r="F95">
        <v>1733</v>
      </c>
      <c r="G95" t="s">
        <v>42</v>
      </c>
      <c r="I95" s="46">
        <v>0</v>
      </c>
      <c r="J95" s="46">
        <v>3463.9011456647399</v>
      </c>
      <c r="K95" s="46">
        <v>11160</v>
      </c>
      <c r="L95" s="46">
        <v>200.16149999999999</v>
      </c>
      <c r="M95" s="46">
        <v>0</v>
      </c>
      <c r="N95" s="46">
        <v>0</v>
      </c>
    </row>
    <row r="96" spans="1:14" outlineLevel="1" x14ac:dyDescent="0.25">
      <c r="C96" s="47" t="s">
        <v>153</v>
      </c>
      <c r="D96" s="47"/>
      <c r="E96" s="46">
        <v>143821.35444085</v>
      </c>
      <c r="F96">
        <v>18818</v>
      </c>
      <c r="G96" t="s">
        <v>42</v>
      </c>
      <c r="I96" s="46">
        <v>0</v>
      </c>
      <c r="J96" s="46">
        <v>31039.853218628101</v>
      </c>
      <c r="K96" s="46">
        <v>110608.022222222</v>
      </c>
      <c r="L96" s="46">
        <v>2173.4789999999998</v>
      </c>
      <c r="M96" s="46">
        <v>0</v>
      </c>
      <c r="N96" s="46">
        <v>0</v>
      </c>
    </row>
    <row r="97" spans="1:14" outlineLevel="1" x14ac:dyDescent="0.25">
      <c r="B97">
        <v>2130</v>
      </c>
      <c r="C97" s="48" t="s">
        <v>46</v>
      </c>
      <c r="D97" s="48"/>
      <c r="E97" s="46">
        <v>143821.35444085</v>
      </c>
      <c r="F97">
        <v>18818</v>
      </c>
      <c r="G97" t="s">
        <v>42</v>
      </c>
      <c r="I97" s="46">
        <v>0</v>
      </c>
      <c r="J97" s="46">
        <v>31039.853218628101</v>
      </c>
      <c r="K97" s="46">
        <v>110608.022222222</v>
      </c>
      <c r="L97" s="46">
        <v>2173.4789999999998</v>
      </c>
      <c r="M97" s="46">
        <v>0</v>
      </c>
      <c r="N97" s="46">
        <v>0</v>
      </c>
    </row>
    <row r="98" spans="1:14" outlineLevel="1" x14ac:dyDescent="0.25">
      <c r="C98" s="47" t="s">
        <v>154</v>
      </c>
      <c r="D98" s="47"/>
      <c r="E98" s="46">
        <v>301617.38167097699</v>
      </c>
      <c r="F98">
        <v>18818</v>
      </c>
      <c r="G98" t="s">
        <v>42</v>
      </c>
      <c r="I98" s="46">
        <v>0</v>
      </c>
      <c r="J98" s="46">
        <v>8147.9614698898904</v>
      </c>
      <c r="K98" s="46">
        <v>14267.572375</v>
      </c>
      <c r="L98" s="46">
        <v>0</v>
      </c>
      <c r="M98" s="46">
        <v>0</v>
      </c>
      <c r="N98" s="46">
        <v>279201.84782608697</v>
      </c>
    </row>
    <row r="99" spans="1:14" outlineLevel="1" x14ac:dyDescent="0.25">
      <c r="B99">
        <v>2500</v>
      </c>
      <c r="C99" s="48" t="s">
        <v>102</v>
      </c>
      <c r="D99" s="48"/>
      <c r="E99" s="46">
        <v>22415.533844889898</v>
      </c>
      <c r="F99">
        <v>32931.5</v>
      </c>
      <c r="G99" t="s">
        <v>43</v>
      </c>
      <c r="I99" s="46">
        <v>0</v>
      </c>
      <c r="J99" s="46">
        <v>8147.9614698898904</v>
      </c>
      <c r="K99" s="46">
        <v>14267.572375</v>
      </c>
      <c r="L99" s="46">
        <v>0</v>
      </c>
      <c r="M99" s="46">
        <v>0</v>
      </c>
      <c r="N99" s="46">
        <v>0</v>
      </c>
    </row>
    <row r="100" spans="1:14" outlineLevel="1" x14ac:dyDescent="0.25">
      <c r="B100">
        <v>2150</v>
      </c>
      <c r="C100" s="48" t="s">
        <v>38</v>
      </c>
      <c r="D100" s="48"/>
      <c r="E100" s="46">
        <v>279201.84782608697</v>
      </c>
      <c r="F100">
        <v>32931.5</v>
      </c>
      <c r="G100" t="s">
        <v>43</v>
      </c>
      <c r="I100" s="46">
        <v>0</v>
      </c>
      <c r="J100" s="46">
        <v>0</v>
      </c>
      <c r="K100" s="46">
        <v>0</v>
      </c>
      <c r="L100" s="46">
        <v>0</v>
      </c>
      <c r="M100" s="46">
        <v>0</v>
      </c>
      <c r="N100" s="46">
        <v>279201.84782608697</v>
      </c>
    </row>
    <row r="101" spans="1:14" outlineLevel="1" x14ac:dyDescent="0.25">
      <c r="C101" s="47" t="s">
        <v>155</v>
      </c>
      <c r="D101" s="47"/>
      <c r="E101" s="46">
        <v>40783.238815163502</v>
      </c>
      <c r="F101">
        <v>439035</v>
      </c>
      <c r="G101" t="s">
        <v>41</v>
      </c>
      <c r="I101" s="46">
        <v>0</v>
      </c>
      <c r="J101" s="46">
        <v>18055.8603151635</v>
      </c>
      <c r="K101" s="46">
        <v>21805.404999999999</v>
      </c>
      <c r="L101" s="46">
        <v>921.97349999999994</v>
      </c>
      <c r="M101" s="46">
        <v>0</v>
      </c>
      <c r="N101" s="46">
        <v>0</v>
      </c>
    </row>
    <row r="102" spans="1:14" outlineLevel="1" x14ac:dyDescent="0.25">
      <c r="B102">
        <v>2135</v>
      </c>
      <c r="C102" s="48" t="s">
        <v>47</v>
      </c>
      <c r="D102" s="48"/>
      <c r="E102" s="46">
        <v>39861.265315163502</v>
      </c>
      <c r="F102">
        <v>439035</v>
      </c>
      <c r="G102" t="s">
        <v>41</v>
      </c>
      <c r="I102" s="46">
        <v>0</v>
      </c>
      <c r="J102" s="46">
        <v>18055.8603151635</v>
      </c>
      <c r="K102" s="46">
        <v>21805.404999999999</v>
      </c>
      <c r="L102" s="46">
        <v>0</v>
      </c>
      <c r="M102" s="46">
        <v>0</v>
      </c>
      <c r="N102" s="46">
        <v>0</v>
      </c>
    </row>
    <row r="103" spans="1:14" outlineLevel="1" x14ac:dyDescent="0.25">
      <c r="B103">
        <v>1410</v>
      </c>
      <c r="C103" s="48" t="s">
        <v>104</v>
      </c>
      <c r="D103" s="48"/>
      <c r="E103" s="46">
        <v>921.97349999999994</v>
      </c>
      <c r="F103">
        <v>263.42099999999999</v>
      </c>
      <c r="G103" t="s">
        <v>105</v>
      </c>
      <c r="I103" s="46">
        <v>0</v>
      </c>
      <c r="J103" s="46">
        <v>0</v>
      </c>
      <c r="K103" s="46">
        <v>0</v>
      </c>
      <c r="L103" s="46">
        <v>921.97349999999994</v>
      </c>
      <c r="M103" s="46">
        <v>0</v>
      </c>
      <c r="N103" s="46">
        <v>0</v>
      </c>
    </row>
    <row r="104" spans="1:14" x14ac:dyDescent="0.25">
      <c r="A104">
        <v>4</v>
      </c>
      <c r="C104" t="s">
        <v>33</v>
      </c>
      <c r="E104" s="46">
        <v>921076.21912827797</v>
      </c>
      <c r="F104">
        <v>1</v>
      </c>
      <c r="G104" t="s">
        <v>34</v>
      </c>
      <c r="H104" s="46">
        <v>1215500</v>
      </c>
      <c r="I104" s="46">
        <v>580</v>
      </c>
      <c r="J104" s="46">
        <v>209804.409463905</v>
      </c>
      <c r="K104" s="46">
        <v>197248.90833333301</v>
      </c>
      <c r="L104" s="46">
        <v>424193.743682131</v>
      </c>
      <c r="M104" s="46">
        <v>19671.400000000001</v>
      </c>
      <c r="N104" s="46">
        <v>69577.7576489083</v>
      </c>
    </row>
    <row r="105" spans="1:14" outlineLevel="1" x14ac:dyDescent="0.25">
      <c r="C105" s="47" t="s">
        <v>156</v>
      </c>
      <c r="D105" s="47"/>
      <c r="E105" s="46">
        <v>234127.95289275801</v>
      </c>
      <c r="F105">
        <v>1</v>
      </c>
      <c r="G105" t="s">
        <v>34</v>
      </c>
      <c r="I105" s="46">
        <v>0</v>
      </c>
      <c r="J105" s="46">
        <v>75531.435199014493</v>
      </c>
      <c r="K105" s="46">
        <v>79530.820000000007</v>
      </c>
      <c r="L105" s="46">
        <v>54378.440646447001</v>
      </c>
      <c r="M105" s="46">
        <v>9603.4</v>
      </c>
      <c r="N105" s="46">
        <v>15083.8570472961</v>
      </c>
    </row>
    <row r="106" spans="1:14" outlineLevel="1" x14ac:dyDescent="0.25">
      <c r="C106" s="48" t="s">
        <v>157</v>
      </c>
      <c r="D106" s="48"/>
      <c r="E106" s="46">
        <v>14472.0377884393</v>
      </c>
      <c r="F106">
        <v>1</v>
      </c>
      <c r="G106" t="s">
        <v>39</v>
      </c>
      <c r="I106" s="46">
        <v>0</v>
      </c>
      <c r="J106" s="46">
        <v>6413.0377884393101</v>
      </c>
      <c r="K106" s="46">
        <v>8059</v>
      </c>
      <c r="L106" s="46">
        <v>0</v>
      </c>
      <c r="M106" s="46">
        <v>0</v>
      </c>
      <c r="N106" s="46">
        <v>0</v>
      </c>
    </row>
    <row r="107" spans="1:14" outlineLevel="1" x14ac:dyDescent="0.25">
      <c r="B107">
        <v>4410</v>
      </c>
      <c r="C107" s="51" t="s">
        <v>93</v>
      </c>
      <c r="D107" s="51"/>
      <c r="E107" s="46">
        <v>14472.0377884393</v>
      </c>
      <c r="F107">
        <v>1</v>
      </c>
      <c r="G107" t="s">
        <v>39</v>
      </c>
      <c r="I107" s="46">
        <v>0</v>
      </c>
      <c r="J107" s="46">
        <v>6413.0377884393101</v>
      </c>
      <c r="K107" s="46">
        <v>8059</v>
      </c>
      <c r="L107" s="46">
        <v>0</v>
      </c>
      <c r="M107" s="46">
        <v>0</v>
      </c>
      <c r="N107" s="46">
        <v>0</v>
      </c>
    </row>
    <row r="108" spans="1:14" outlineLevel="1" x14ac:dyDescent="0.25">
      <c r="C108" s="48" t="s">
        <v>158</v>
      </c>
      <c r="D108" s="48"/>
      <c r="E108" s="46">
        <v>110918.553100388</v>
      </c>
      <c r="F108">
        <v>732</v>
      </c>
      <c r="G108" t="s">
        <v>40</v>
      </c>
      <c r="I108" s="46">
        <v>0</v>
      </c>
      <c r="J108" s="46">
        <v>31295.6244075838</v>
      </c>
      <c r="K108" s="46">
        <v>39327.919999999998</v>
      </c>
      <c r="L108" s="46">
        <v>35009.445332497002</v>
      </c>
      <c r="M108" s="46">
        <v>570.96</v>
      </c>
      <c r="N108" s="46">
        <v>4714.6033603076103</v>
      </c>
    </row>
    <row r="109" spans="1:14" outlineLevel="1" x14ac:dyDescent="0.25">
      <c r="B109">
        <v>4006</v>
      </c>
      <c r="C109" s="51" t="s">
        <v>54</v>
      </c>
      <c r="D109" s="51"/>
      <c r="E109" s="46">
        <v>98623.544407583802</v>
      </c>
      <c r="F109">
        <v>732</v>
      </c>
      <c r="G109" t="s">
        <v>40</v>
      </c>
      <c r="I109" s="46">
        <v>0</v>
      </c>
      <c r="J109" s="46">
        <v>31295.6244075838</v>
      </c>
      <c r="K109" s="46">
        <v>39327.919999999998</v>
      </c>
      <c r="L109" s="46">
        <v>28000</v>
      </c>
      <c r="M109" s="46">
        <v>0</v>
      </c>
      <c r="N109" s="46">
        <v>0</v>
      </c>
    </row>
    <row r="110" spans="1:14" outlineLevel="1" x14ac:dyDescent="0.25">
      <c r="B110">
        <v>2185</v>
      </c>
      <c r="C110" s="51" t="s">
        <v>51</v>
      </c>
      <c r="D110" s="51"/>
      <c r="E110" s="46">
        <v>6297.7786665419999</v>
      </c>
      <c r="F110">
        <v>318.87486919200001</v>
      </c>
      <c r="G110" t="s">
        <v>43</v>
      </c>
      <c r="I110" s="46">
        <v>0</v>
      </c>
      <c r="J110" s="46">
        <v>0</v>
      </c>
      <c r="K110" s="46">
        <v>0</v>
      </c>
      <c r="L110" s="46">
        <v>6297.7786665419999</v>
      </c>
      <c r="M110" s="46">
        <v>0</v>
      </c>
      <c r="N110" s="46">
        <v>0</v>
      </c>
    </row>
    <row r="111" spans="1:14" outlineLevel="1" x14ac:dyDescent="0.25">
      <c r="B111">
        <v>2149</v>
      </c>
      <c r="C111" s="51" t="s">
        <v>48</v>
      </c>
      <c r="D111" s="51"/>
      <c r="E111" s="46">
        <v>2703.3714782608699</v>
      </c>
      <c r="F111">
        <v>318.85919999999999</v>
      </c>
      <c r="G111" t="s">
        <v>43</v>
      </c>
      <c r="I111" s="46">
        <v>0</v>
      </c>
      <c r="J111" s="46">
        <v>0</v>
      </c>
      <c r="K111" s="46">
        <v>0</v>
      </c>
      <c r="L111" s="46">
        <v>0</v>
      </c>
      <c r="M111" s="46">
        <v>0</v>
      </c>
      <c r="N111" s="46">
        <v>2703.3714782608699</v>
      </c>
    </row>
    <row r="112" spans="1:14" outlineLevel="1" x14ac:dyDescent="0.25">
      <c r="B112">
        <v>4490</v>
      </c>
      <c r="C112" s="51" t="s">
        <v>159</v>
      </c>
      <c r="D112" s="51"/>
      <c r="E112" s="46">
        <v>570.96</v>
      </c>
      <c r="F112">
        <v>732</v>
      </c>
      <c r="G112" t="s">
        <v>40</v>
      </c>
      <c r="I112" s="46">
        <v>0</v>
      </c>
      <c r="J112" s="46">
        <v>0</v>
      </c>
      <c r="K112" s="46">
        <v>0</v>
      </c>
      <c r="L112" s="46">
        <v>0</v>
      </c>
      <c r="M112" s="46">
        <v>570.96</v>
      </c>
      <c r="N112" s="46">
        <v>0</v>
      </c>
    </row>
    <row r="113" spans="2:14" outlineLevel="1" x14ac:dyDescent="0.25">
      <c r="B113">
        <v>2150</v>
      </c>
      <c r="C113" s="51" t="s">
        <v>38</v>
      </c>
      <c r="D113" s="51"/>
      <c r="E113" s="46">
        <v>2011.2318820467401</v>
      </c>
      <c r="F113">
        <v>237.222221985</v>
      </c>
      <c r="G113" t="s">
        <v>43</v>
      </c>
      <c r="I113" s="46">
        <v>0</v>
      </c>
      <c r="J113" s="46">
        <v>0</v>
      </c>
      <c r="K113" s="46">
        <v>0</v>
      </c>
      <c r="L113" s="46">
        <v>0</v>
      </c>
      <c r="M113" s="46">
        <v>0</v>
      </c>
      <c r="N113" s="46">
        <v>2011.2318820467401</v>
      </c>
    </row>
    <row r="114" spans="2:14" outlineLevel="1" x14ac:dyDescent="0.25">
      <c r="B114">
        <v>2490</v>
      </c>
      <c r="C114" s="51" t="s">
        <v>37</v>
      </c>
      <c r="D114" s="51"/>
      <c r="E114" s="46">
        <v>711.66666595499998</v>
      </c>
      <c r="F114">
        <v>237.222221985</v>
      </c>
      <c r="G114" t="s">
        <v>43</v>
      </c>
      <c r="I114" s="46">
        <v>0</v>
      </c>
      <c r="J114" s="46">
        <v>0</v>
      </c>
      <c r="K114" s="46">
        <v>0</v>
      </c>
      <c r="L114" s="46">
        <v>711.66666595499998</v>
      </c>
      <c r="M114" s="46">
        <v>0</v>
      </c>
      <c r="N114" s="46">
        <v>0</v>
      </c>
    </row>
    <row r="115" spans="2:14" outlineLevel="1" x14ac:dyDescent="0.25">
      <c r="C115" s="48" t="s">
        <v>160</v>
      </c>
      <c r="D115" s="48"/>
      <c r="E115" s="46">
        <v>23177.336520076398</v>
      </c>
      <c r="F115">
        <v>298</v>
      </c>
      <c r="G115" t="s">
        <v>40</v>
      </c>
      <c r="I115" s="46">
        <v>0</v>
      </c>
      <c r="J115" s="46">
        <v>8521.1009973988403</v>
      </c>
      <c r="K115" s="46">
        <v>10228.5</v>
      </c>
      <c r="L115" s="46">
        <v>2519.58531395</v>
      </c>
      <c r="M115" s="46">
        <v>232.44</v>
      </c>
      <c r="N115" s="46">
        <v>1675.7102087276101</v>
      </c>
    </row>
    <row r="116" spans="2:14" outlineLevel="1" x14ac:dyDescent="0.25">
      <c r="B116">
        <v>4404</v>
      </c>
      <c r="C116" s="51" t="s">
        <v>95</v>
      </c>
      <c r="D116" s="51"/>
      <c r="E116" s="46">
        <v>18749.6009973988</v>
      </c>
      <c r="F116">
        <v>298</v>
      </c>
      <c r="G116" t="s">
        <v>40</v>
      </c>
      <c r="I116" s="46">
        <v>0</v>
      </c>
      <c r="J116" s="46">
        <v>8521.1009973988403</v>
      </c>
      <c r="K116" s="46">
        <v>10228.5</v>
      </c>
      <c r="L116" s="46">
        <v>0</v>
      </c>
      <c r="M116" s="46">
        <v>0</v>
      </c>
      <c r="N116" s="46">
        <v>0</v>
      </c>
    </row>
    <row r="117" spans="2:14" outlineLevel="1" x14ac:dyDescent="0.25">
      <c r="B117">
        <v>2185</v>
      </c>
      <c r="C117" s="51" t="s">
        <v>51</v>
      </c>
      <c r="D117" s="51"/>
      <c r="E117" s="46">
        <v>2271.711857147</v>
      </c>
      <c r="F117">
        <v>115.023385172</v>
      </c>
      <c r="G117" t="s">
        <v>43</v>
      </c>
      <c r="I117" s="46">
        <v>0</v>
      </c>
      <c r="J117" s="46">
        <v>0</v>
      </c>
      <c r="K117" s="46">
        <v>0</v>
      </c>
      <c r="L117" s="46">
        <v>2271.711857147</v>
      </c>
      <c r="M117" s="46">
        <v>0</v>
      </c>
      <c r="N117" s="46">
        <v>0</v>
      </c>
    </row>
    <row r="118" spans="2:14" outlineLevel="1" x14ac:dyDescent="0.25">
      <c r="B118">
        <v>2185</v>
      </c>
      <c r="C118" s="51" t="s">
        <v>48</v>
      </c>
      <c r="D118" s="51"/>
      <c r="E118" s="46">
        <v>975.19826558869602</v>
      </c>
      <c r="F118">
        <v>115.023385172</v>
      </c>
      <c r="G118" t="s">
        <v>43</v>
      </c>
      <c r="I118" s="46">
        <v>0</v>
      </c>
      <c r="J118" s="46">
        <v>0</v>
      </c>
      <c r="K118" s="46">
        <v>0</v>
      </c>
      <c r="L118" s="46">
        <v>0</v>
      </c>
      <c r="M118" s="46">
        <v>0</v>
      </c>
      <c r="N118" s="46">
        <v>975.19826558869602</v>
      </c>
    </row>
    <row r="119" spans="2:14" outlineLevel="1" x14ac:dyDescent="0.25">
      <c r="B119">
        <v>4490</v>
      </c>
      <c r="C119" s="51" t="s">
        <v>55</v>
      </c>
      <c r="D119" s="51"/>
      <c r="E119" s="46">
        <v>232.44</v>
      </c>
      <c r="F119">
        <v>298</v>
      </c>
      <c r="G119" t="s">
        <v>40</v>
      </c>
      <c r="I119" s="46">
        <v>0</v>
      </c>
      <c r="J119" s="46">
        <v>0</v>
      </c>
      <c r="K119" s="46">
        <v>0</v>
      </c>
      <c r="L119" s="46">
        <v>0</v>
      </c>
      <c r="M119" s="46">
        <v>232.44</v>
      </c>
      <c r="N119" s="46">
        <v>0</v>
      </c>
    </row>
    <row r="120" spans="2:14" outlineLevel="1" x14ac:dyDescent="0.25">
      <c r="B120">
        <v>2150</v>
      </c>
      <c r="C120" s="51" t="s">
        <v>38</v>
      </c>
      <c r="D120" s="51"/>
      <c r="E120" s="46">
        <v>700.51194313891301</v>
      </c>
      <c r="F120">
        <v>82.624485601000003</v>
      </c>
      <c r="G120" t="s">
        <v>43</v>
      </c>
      <c r="I120" s="46">
        <v>0</v>
      </c>
      <c r="J120" s="46">
        <v>0</v>
      </c>
      <c r="K120" s="46">
        <v>0</v>
      </c>
      <c r="L120" s="46">
        <v>0</v>
      </c>
      <c r="M120" s="46">
        <v>0</v>
      </c>
      <c r="N120" s="46">
        <v>700.51194313891301</v>
      </c>
    </row>
    <row r="121" spans="2:14" outlineLevel="1" x14ac:dyDescent="0.25">
      <c r="B121">
        <v>2490</v>
      </c>
      <c r="C121" s="51" t="s">
        <v>37</v>
      </c>
      <c r="D121" s="51"/>
      <c r="E121" s="46">
        <v>247.87345680300001</v>
      </c>
      <c r="F121">
        <v>82.624485601000003</v>
      </c>
      <c r="G121" t="s">
        <v>43</v>
      </c>
      <c r="I121" s="46">
        <v>0</v>
      </c>
      <c r="J121" s="46">
        <v>0</v>
      </c>
      <c r="K121" s="46">
        <v>0</v>
      </c>
      <c r="L121" s="46">
        <v>247.87345680300001</v>
      </c>
      <c r="M121" s="46">
        <v>0</v>
      </c>
      <c r="N121" s="46">
        <v>0</v>
      </c>
    </row>
    <row r="122" spans="2:14" outlineLevel="1" x14ac:dyDescent="0.25">
      <c r="C122" s="48" t="s">
        <v>161</v>
      </c>
      <c r="D122" s="48"/>
      <c r="E122" s="46">
        <v>10584.251062060801</v>
      </c>
      <c r="F122">
        <v>12</v>
      </c>
      <c r="G122" t="s">
        <v>39</v>
      </c>
      <c r="I122" s="46">
        <v>0</v>
      </c>
      <c r="J122" s="46">
        <v>2220.8171490173399</v>
      </c>
      <c r="K122" s="46">
        <v>1449</v>
      </c>
      <c r="L122" s="46">
        <v>2104.2600000000002</v>
      </c>
      <c r="M122" s="46">
        <v>4800</v>
      </c>
      <c r="N122" s="46">
        <v>10.173913043478301</v>
      </c>
    </row>
    <row r="123" spans="2:14" outlineLevel="1" x14ac:dyDescent="0.25">
      <c r="B123">
        <v>4410</v>
      </c>
      <c r="C123" s="52" t="s">
        <v>93</v>
      </c>
      <c r="D123" s="52"/>
      <c r="E123" s="46">
        <v>3669.8171490173399</v>
      </c>
      <c r="F123">
        <v>12</v>
      </c>
      <c r="G123" t="s">
        <v>39</v>
      </c>
      <c r="I123" s="46">
        <v>0</v>
      </c>
      <c r="J123" s="46">
        <v>2220.8171490173399</v>
      </c>
      <c r="K123" s="46">
        <v>1449</v>
      </c>
      <c r="L123" s="46">
        <v>0</v>
      </c>
      <c r="M123" s="46">
        <v>0</v>
      </c>
      <c r="N123" s="46">
        <v>0</v>
      </c>
    </row>
    <row r="124" spans="2:14" outlineLevel="1" x14ac:dyDescent="0.25">
      <c r="B124">
        <v>2185</v>
      </c>
      <c r="C124" s="51" t="s">
        <v>162</v>
      </c>
      <c r="D124" s="51"/>
      <c r="E124" s="46">
        <v>23.7</v>
      </c>
      <c r="F124">
        <v>1.2</v>
      </c>
      <c r="G124" t="s">
        <v>43</v>
      </c>
      <c r="I124" s="46">
        <v>0</v>
      </c>
      <c r="J124" s="46">
        <v>0</v>
      </c>
      <c r="K124" s="46">
        <v>0</v>
      </c>
      <c r="L124" s="46">
        <v>23.7</v>
      </c>
      <c r="M124" s="46">
        <v>0</v>
      </c>
      <c r="N124" s="46">
        <v>0</v>
      </c>
    </row>
    <row r="125" spans="2:14" outlineLevel="1" x14ac:dyDescent="0.25">
      <c r="B125">
        <v>2149</v>
      </c>
      <c r="C125" s="51" t="s">
        <v>48</v>
      </c>
      <c r="D125" s="51"/>
      <c r="E125" s="46">
        <v>10.173913043478301</v>
      </c>
      <c r="F125">
        <v>1.2</v>
      </c>
      <c r="G125" t="s">
        <v>43</v>
      </c>
      <c r="I125" s="46">
        <v>0</v>
      </c>
      <c r="J125" s="46">
        <v>0</v>
      </c>
      <c r="K125" s="46">
        <v>0</v>
      </c>
      <c r="L125" s="46">
        <v>0</v>
      </c>
      <c r="M125" s="46">
        <v>0</v>
      </c>
      <c r="N125" s="46">
        <v>10.173913043478301</v>
      </c>
    </row>
    <row r="126" spans="2:14" outlineLevel="1" x14ac:dyDescent="0.25">
      <c r="B126">
        <v>6480</v>
      </c>
      <c r="C126" s="51" t="s">
        <v>96</v>
      </c>
      <c r="D126" s="51"/>
      <c r="E126" s="46">
        <v>2080.56</v>
      </c>
      <c r="F126">
        <v>1</v>
      </c>
      <c r="G126" t="s">
        <v>34</v>
      </c>
      <c r="I126" s="46">
        <v>0</v>
      </c>
      <c r="J126" s="46">
        <v>0</v>
      </c>
      <c r="K126" s="46">
        <v>0</v>
      </c>
      <c r="L126" s="46">
        <v>2080.56</v>
      </c>
      <c r="M126" s="46">
        <v>0</v>
      </c>
      <c r="N126" s="46">
        <v>0</v>
      </c>
    </row>
    <row r="127" spans="2:14" outlineLevel="1" x14ac:dyDescent="0.25">
      <c r="B127">
        <v>3290</v>
      </c>
      <c r="C127" s="51" t="s">
        <v>163</v>
      </c>
      <c r="D127" s="51"/>
      <c r="E127" s="46">
        <v>4800</v>
      </c>
      <c r="F127">
        <v>12</v>
      </c>
      <c r="G127" t="s">
        <v>39</v>
      </c>
      <c r="I127" s="46">
        <v>0</v>
      </c>
      <c r="J127" s="46">
        <v>0</v>
      </c>
      <c r="K127" s="46">
        <v>0</v>
      </c>
      <c r="L127" s="46">
        <v>0</v>
      </c>
      <c r="M127" s="46">
        <v>4800</v>
      </c>
      <c r="N127" s="46">
        <v>0</v>
      </c>
    </row>
    <row r="128" spans="2:14" outlineLevel="1" x14ac:dyDescent="0.25">
      <c r="C128" s="48" t="s">
        <v>164</v>
      </c>
      <c r="D128" s="48"/>
      <c r="E128" s="46">
        <v>7774.2092183840196</v>
      </c>
      <c r="F128">
        <v>10</v>
      </c>
      <c r="G128" t="s">
        <v>39</v>
      </c>
      <c r="I128" s="46">
        <v>0</v>
      </c>
      <c r="J128" s="46">
        <v>1850.68095751445</v>
      </c>
      <c r="K128" s="46">
        <v>1207.5</v>
      </c>
      <c r="L128" s="46">
        <v>707.55</v>
      </c>
      <c r="M128" s="46">
        <v>4000</v>
      </c>
      <c r="N128" s="46">
        <v>8.4782608695652204</v>
      </c>
    </row>
    <row r="129" spans="2:14" outlineLevel="1" x14ac:dyDescent="0.25">
      <c r="B129">
        <v>4410</v>
      </c>
      <c r="C129" s="51" t="s">
        <v>93</v>
      </c>
      <c r="D129" s="51"/>
      <c r="E129" s="46">
        <v>3058.1809575144498</v>
      </c>
      <c r="F129">
        <v>10</v>
      </c>
      <c r="G129" t="s">
        <v>39</v>
      </c>
      <c r="I129" s="46">
        <v>0</v>
      </c>
      <c r="J129" s="46">
        <v>1850.68095751445</v>
      </c>
      <c r="K129" s="46">
        <v>1207.5</v>
      </c>
      <c r="L129" s="46">
        <v>0</v>
      </c>
      <c r="M129" s="46">
        <v>0</v>
      </c>
      <c r="N129" s="46">
        <v>0</v>
      </c>
    </row>
    <row r="130" spans="2:14" outlineLevel="1" x14ac:dyDescent="0.25">
      <c r="B130">
        <v>2185</v>
      </c>
      <c r="C130" s="51" t="s">
        <v>51</v>
      </c>
      <c r="D130" s="51"/>
      <c r="E130" s="46">
        <v>19.75</v>
      </c>
      <c r="F130">
        <v>1</v>
      </c>
      <c r="G130" t="s">
        <v>43</v>
      </c>
      <c r="I130" s="46">
        <v>0</v>
      </c>
      <c r="J130" s="46">
        <v>0</v>
      </c>
      <c r="K130" s="46">
        <v>0</v>
      </c>
      <c r="L130" s="46">
        <v>19.75</v>
      </c>
      <c r="M130" s="46">
        <v>0</v>
      </c>
      <c r="N130" s="46">
        <v>0</v>
      </c>
    </row>
    <row r="131" spans="2:14" outlineLevel="1" x14ac:dyDescent="0.25">
      <c r="B131">
        <v>2149</v>
      </c>
      <c r="C131" s="51" t="s">
        <v>48</v>
      </c>
      <c r="D131" s="51"/>
      <c r="E131" s="46">
        <v>8.4782608695652204</v>
      </c>
      <c r="F131">
        <v>1</v>
      </c>
      <c r="G131" t="s">
        <v>43</v>
      </c>
      <c r="I131" s="46">
        <v>0</v>
      </c>
      <c r="J131" s="46">
        <v>0</v>
      </c>
      <c r="K131" s="46">
        <v>0</v>
      </c>
      <c r="L131" s="46">
        <v>0</v>
      </c>
      <c r="M131" s="46">
        <v>0</v>
      </c>
      <c r="N131" s="46">
        <v>8.4782608695652204</v>
      </c>
    </row>
    <row r="132" spans="2:14" outlineLevel="1" x14ac:dyDescent="0.25">
      <c r="B132">
        <v>6480</v>
      </c>
      <c r="C132" s="51" t="s">
        <v>96</v>
      </c>
      <c r="D132" s="51"/>
      <c r="E132" s="46">
        <v>687.8</v>
      </c>
      <c r="F132">
        <v>1</v>
      </c>
      <c r="G132" t="s">
        <v>34</v>
      </c>
      <c r="I132" s="46">
        <v>0</v>
      </c>
      <c r="J132" s="46">
        <v>0</v>
      </c>
      <c r="K132" s="46">
        <v>0</v>
      </c>
      <c r="L132" s="46">
        <v>687.8</v>
      </c>
      <c r="M132" s="46">
        <v>0</v>
      </c>
      <c r="N132" s="46">
        <v>0</v>
      </c>
    </row>
    <row r="133" spans="2:14" outlineLevel="1" x14ac:dyDescent="0.25">
      <c r="B133">
        <v>3290</v>
      </c>
      <c r="C133" s="51" t="s">
        <v>163</v>
      </c>
      <c r="D133" s="51"/>
      <c r="E133" s="46">
        <v>4000</v>
      </c>
      <c r="F133">
        <v>10</v>
      </c>
      <c r="G133" t="s">
        <v>39</v>
      </c>
      <c r="I133" s="46">
        <v>0</v>
      </c>
      <c r="J133" s="46">
        <v>0</v>
      </c>
      <c r="K133" s="46">
        <v>0</v>
      </c>
      <c r="L133" s="46">
        <v>0</v>
      </c>
      <c r="M133" s="46">
        <v>4000</v>
      </c>
      <c r="N133" s="46">
        <v>0</v>
      </c>
    </row>
    <row r="134" spans="2:14" outlineLevel="1" x14ac:dyDescent="0.25">
      <c r="C134" s="48" t="s">
        <v>165</v>
      </c>
      <c r="D134" s="48"/>
      <c r="E134" s="46">
        <v>315.63166017341001</v>
      </c>
      <c r="F134">
        <v>4</v>
      </c>
      <c r="G134" t="s">
        <v>39</v>
      </c>
      <c r="I134" s="46">
        <v>0</v>
      </c>
      <c r="J134" s="46">
        <v>141.63166017341001</v>
      </c>
      <c r="K134" s="46">
        <v>134</v>
      </c>
      <c r="L134" s="46">
        <v>40</v>
      </c>
      <c r="M134" s="46">
        <v>0</v>
      </c>
      <c r="N134" s="46">
        <v>0</v>
      </c>
    </row>
    <row r="135" spans="2:14" outlineLevel="1" x14ac:dyDescent="0.25">
      <c r="B135">
        <v>4410</v>
      </c>
      <c r="C135" s="51" t="s">
        <v>93</v>
      </c>
      <c r="D135" s="51"/>
      <c r="E135" s="46">
        <v>275.63166017341001</v>
      </c>
      <c r="F135">
        <v>4</v>
      </c>
      <c r="G135" t="s">
        <v>39</v>
      </c>
      <c r="I135" s="46">
        <v>0</v>
      </c>
      <c r="J135" s="46">
        <v>141.63166017341001</v>
      </c>
      <c r="K135" s="46">
        <v>134</v>
      </c>
      <c r="L135" s="46">
        <v>0</v>
      </c>
      <c r="M135" s="46">
        <v>0</v>
      </c>
      <c r="N135" s="46">
        <v>0</v>
      </c>
    </row>
    <row r="136" spans="2:14" outlineLevel="1" x14ac:dyDescent="0.25">
      <c r="B136">
        <v>6480</v>
      </c>
      <c r="C136" s="51" t="s">
        <v>96</v>
      </c>
      <c r="D136" s="51"/>
      <c r="E136" s="46">
        <v>40</v>
      </c>
      <c r="F136">
        <v>1</v>
      </c>
      <c r="G136" t="s">
        <v>39</v>
      </c>
      <c r="I136" s="46">
        <v>0</v>
      </c>
      <c r="J136" s="46">
        <v>0</v>
      </c>
      <c r="K136" s="46">
        <v>0</v>
      </c>
      <c r="L136" s="46">
        <v>40</v>
      </c>
      <c r="M136" s="46">
        <v>0</v>
      </c>
      <c r="N136" s="46">
        <v>0</v>
      </c>
    </row>
    <row r="137" spans="2:14" outlineLevel="1" x14ac:dyDescent="0.25">
      <c r="C137" s="48" t="s">
        <v>166</v>
      </c>
      <c r="D137" s="48"/>
      <c r="E137" s="46">
        <v>216.72374513005801</v>
      </c>
      <c r="F137">
        <v>3</v>
      </c>
      <c r="G137" t="s">
        <v>39</v>
      </c>
      <c r="I137" s="46">
        <v>0</v>
      </c>
      <c r="J137" s="46">
        <v>106.22374513005801</v>
      </c>
      <c r="K137" s="46">
        <v>100.5</v>
      </c>
      <c r="L137" s="46">
        <v>10</v>
      </c>
      <c r="M137" s="46">
        <v>0</v>
      </c>
      <c r="N137" s="46">
        <v>0</v>
      </c>
    </row>
    <row r="138" spans="2:14" outlineLevel="1" x14ac:dyDescent="0.25">
      <c r="B138">
        <v>4410</v>
      </c>
      <c r="C138" s="51" t="s">
        <v>93</v>
      </c>
      <c r="D138" s="51"/>
      <c r="E138" s="46">
        <v>206.72374513005801</v>
      </c>
      <c r="F138">
        <v>3</v>
      </c>
      <c r="G138" t="s">
        <v>39</v>
      </c>
      <c r="I138" s="46">
        <v>0</v>
      </c>
      <c r="J138" s="46">
        <v>106.22374513005801</v>
      </c>
      <c r="K138" s="46">
        <v>100.5</v>
      </c>
      <c r="L138" s="46">
        <v>0</v>
      </c>
      <c r="M138" s="46">
        <v>0</v>
      </c>
      <c r="N138" s="46">
        <v>0</v>
      </c>
    </row>
    <row r="139" spans="2:14" outlineLevel="1" x14ac:dyDescent="0.25">
      <c r="B139">
        <v>6480</v>
      </c>
      <c r="C139" s="51" t="s">
        <v>96</v>
      </c>
      <c r="D139" s="51"/>
      <c r="E139" s="46">
        <v>10</v>
      </c>
      <c r="F139">
        <v>1</v>
      </c>
      <c r="G139" t="s">
        <v>39</v>
      </c>
      <c r="I139" s="46">
        <v>0</v>
      </c>
      <c r="J139" s="46">
        <v>0</v>
      </c>
      <c r="K139" s="46">
        <v>0</v>
      </c>
      <c r="L139" s="46">
        <v>10</v>
      </c>
      <c r="M139" s="46">
        <v>0</v>
      </c>
      <c r="N139" s="46">
        <v>0</v>
      </c>
    </row>
    <row r="140" spans="2:14" outlineLevel="1" x14ac:dyDescent="0.25">
      <c r="C140" s="48" t="s">
        <v>167</v>
      </c>
      <c r="D140" s="48"/>
      <c r="E140" s="46">
        <v>1249.9733998265899</v>
      </c>
      <c r="F140">
        <v>2</v>
      </c>
      <c r="G140" t="s">
        <v>39</v>
      </c>
      <c r="I140" s="46">
        <v>0</v>
      </c>
      <c r="J140" s="46">
        <v>568.07339982659005</v>
      </c>
      <c r="K140" s="46">
        <v>681.9</v>
      </c>
      <c r="L140" s="46">
        <v>0</v>
      </c>
      <c r="M140" s="46">
        <v>0</v>
      </c>
      <c r="N140" s="46">
        <v>0</v>
      </c>
    </row>
    <row r="141" spans="2:14" outlineLevel="1" x14ac:dyDescent="0.25">
      <c r="B141">
        <v>4410</v>
      </c>
      <c r="C141" s="51" t="s">
        <v>93</v>
      </c>
      <c r="D141" s="51"/>
      <c r="E141" s="46">
        <v>1249.9733998265899</v>
      </c>
      <c r="F141">
        <v>2</v>
      </c>
      <c r="G141" t="s">
        <v>39</v>
      </c>
      <c r="I141" s="46">
        <v>0</v>
      </c>
      <c r="J141" s="46">
        <v>568.07339982659005</v>
      </c>
      <c r="K141" s="46">
        <v>681.9</v>
      </c>
      <c r="L141" s="46">
        <v>0</v>
      </c>
      <c r="M141" s="46">
        <v>0</v>
      </c>
      <c r="N141" s="46">
        <v>0</v>
      </c>
    </row>
    <row r="142" spans="2:14" outlineLevel="1" x14ac:dyDescent="0.25">
      <c r="C142" s="48" t="s">
        <v>168</v>
      </c>
      <c r="D142" s="48"/>
      <c r="E142" s="46">
        <v>10123.963566210101</v>
      </c>
      <c r="F142">
        <v>1</v>
      </c>
      <c r="G142" t="s">
        <v>39</v>
      </c>
      <c r="I142" s="46">
        <v>0</v>
      </c>
      <c r="J142" s="46">
        <v>1850.68095751445</v>
      </c>
      <c r="K142" s="46">
        <v>1866.5</v>
      </c>
      <c r="L142" s="46">
        <v>4514.5</v>
      </c>
      <c r="M142" s="46">
        <v>0</v>
      </c>
      <c r="N142" s="46">
        <v>1892.28260869565</v>
      </c>
    </row>
    <row r="143" spans="2:14" outlineLevel="1" x14ac:dyDescent="0.25">
      <c r="B143">
        <v>4430</v>
      </c>
      <c r="C143" s="51" t="s">
        <v>169</v>
      </c>
      <c r="D143" s="51"/>
      <c r="E143" s="46">
        <v>3717.1809575144498</v>
      </c>
      <c r="F143">
        <v>1</v>
      </c>
      <c r="G143" t="s">
        <v>39</v>
      </c>
      <c r="I143" s="46">
        <v>0</v>
      </c>
      <c r="J143" s="46">
        <v>1850.68095751445</v>
      </c>
      <c r="K143" s="46">
        <v>1866.5</v>
      </c>
      <c r="L143" s="46">
        <v>0</v>
      </c>
      <c r="M143" s="46">
        <v>0</v>
      </c>
      <c r="N143" s="46">
        <v>0</v>
      </c>
    </row>
    <row r="144" spans="2:14" outlineLevel="1" x14ac:dyDescent="0.25">
      <c r="B144">
        <v>5490</v>
      </c>
      <c r="C144" s="51" t="s">
        <v>94</v>
      </c>
      <c r="D144" s="51"/>
      <c r="E144" s="46">
        <v>4370</v>
      </c>
      <c r="F144">
        <v>1</v>
      </c>
      <c r="G144" t="s">
        <v>34</v>
      </c>
      <c r="I144" s="46">
        <v>0</v>
      </c>
      <c r="J144" s="46">
        <v>0</v>
      </c>
      <c r="K144" s="46">
        <v>0</v>
      </c>
      <c r="L144" s="46">
        <v>4220</v>
      </c>
      <c r="M144" s="46">
        <v>0</v>
      </c>
      <c r="N144" s="46">
        <v>150</v>
      </c>
    </row>
    <row r="145" spans="2:14" outlineLevel="1" x14ac:dyDescent="0.25">
      <c r="B145">
        <v>2185</v>
      </c>
      <c r="C145" s="51" t="s">
        <v>51</v>
      </c>
      <c r="D145" s="51"/>
      <c r="E145" s="46">
        <v>158</v>
      </c>
      <c r="F145">
        <v>8</v>
      </c>
      <c r="G145" t="s">
        <v>43</v>
      </c>
      <c r="I145" s="46">
        <v>0</v>
      </c>
      <c r="J145" s="46">
        <v>0</v>
      </c>
      <c r="K145" s="46">
        <v>0</v>
      </c>
      <c r="L145" s="46">
        <v>158</v>
      </c>
      <c r="M145" s="46">
        <v>0</v>
      </c>
      <c r="N145" s="46">
        <v>0</v>
      </c>
    </row>
    <row r="146" spans="2:14" outlineLevel="1" x14ac:dyDescent="0.25">
      <c r="B146">
        <v>2149</v>
      </c>
      <c r="C146" s="51" t="s">
        <v>48</v>
      </c>
      <c r="D146" s="51"/>
      <c r="E146" s="46">
        <v>1356.52173913043</v>
      </c>
      <c r="F146">
        <v>8</v>
      </c>
      <c r="G146" t="s">
        <v>43</v>
      </c>
      <c r="I146" s="46">
        <v>0</v>
      </c>
      <c r="J146" s="46">
        <v>0</v>
      </c>
      <c r="K146" s="46">
        <v>0</v>
      </c>
      <c r="L146" s="46">
        <v>0</v>
      </c>
      <c r="M146" s="46">
        <v>0</v>
      </c>
      <c r="N146" s="46">
        <v>1356.52173913043</v>
      </c>
    </row>
    <row r="147" spans="2:14" outlineLevel="1" x14ac:dyDescent="0.25">
      <c r="B147">
        <v>2150</v>
      </c>
      <c r="C147" s="51" t="s">
        <v>38</v>
      </c>
      <c r="D147" s="51"/>
      <c r="E147" s="46">
        <v>385.76086956521698</v>
      </c>
      <c r="F147">
        <v>45.5</v>
      </c>
      <c r="G147" t="s">
        <v>43</v>
      </c>
      <c r="I147" s="46">
        <v>0</v>
      </c>
      <c r="J147" s="46">
        <v>0</v>
      </c>
      <c r="K147" s="46">
        <v>0</v>
      </c>
      <c r="L147" s="46">
        <v>0</v>
      </c>
      <c r="M147" s="46">
        <v>0</v>
      </c>
      <c r="N147" s="46">
        <v>385.76086956521698</v>
      </c>
    </row>
    <row r="148" spans="2:14" outlineLevel="1" x14ac:dyDescent="0.25">
      <c r="B148">
        <v>2490</v>
      </c>
      <c r="C148" s="51" t="s">
        <v>37</v>
      </c>
      <c r="D148" s="51"/>
      <c r="E148" s="46">
        <v>136.5</v>
      </c>
      <c r="F148">
        <v>45.5</v>
      </c>
      <c r="G148" t="s">
        <v>43</v>
      </c>
      <c r="I148" s="46">
        <v>0</v>
      </c>
      <c r="J148" s="46">
        <v>0</v>
      </c>
      <c r="K148" s="46">
        <v>0</v>
      </c>
      <c r="L148" s="46">
        <v>136.5</v>
      </c>
      <c r="M148" s="46">
        <v>0</v>
      </c>
      <c r="N148" s="46">
        <v>0</v>
      </c>
    </row>
    <row r="149" spans="2:14" outlineLevel="1" x14ac:dyDescent="0.25">
      <c r="B149">
        <v>2600</v>
      </c>
      <c r="C149" s="48" t="s">
        <v>170</v>
      </c>
      <c r="D149" s="48"/>
      <c r="E149" s="46">
        <v>26582.0758034682</v>
      </c>
      <c r="F149">
        <v>20</v>
      </c>
      <c r="G149" t="s">
        <v>132</v>
      </c>
      <c r="I149" s="46">
        <v>0</v>
      </c>
      <c r="J149" s="46">
        <v>14646.0758034682</v>
      </c>
      <c r="K149" s="46">
        <v>11936</v>
      </c>
      <c r="L149" s="46">
        <v>0</v>
      </c>
      <c r="M149" s="46">
        <v>0</v>
      </c>
      <c r="N149" s="46">
        <v>0</v>
      </c>
    </row>
    <row r="150" spans="2:14" outlineLevel="1" x14ac:dyDescent="0.25">
      <c r="C150" s="48" t="s">
        <v>172</v>
      </c>
      <c r="D150" s="48"/>
      <c r="E150" s="46">
        <v>28713.1970286002</v>
      </c>
      <c r="F150">
        <v>40</v>
      </c>
      <c r="G150" t="s">
        <v>39</v>
      </c>
      <c r="I150" s="46">
        <v>0</v>
      </c>
      <c r="J150" s="46">
        <v>7917.4883329479799</v>
      </c>
      <c r="K150" s="46">
        <v>4540</v>
      </c>
      <c r="L150" s="46">
        <v>9473.1</v>
      </c>
      <c r="M150" s="46">
        <v>0</v>
      </c>
      <c r="N150" s="46">
        <v>6782.6086956521704</v>
      </c>
    </row>
    <row r="151" spans="2:14" outlineLevel="1" x14ac:dyDescent="0.25">
      <c r="B151">
        <v>2105</v>
      </c>
      <c r="C151" s="51" t="s">
        <v>49</v>
      </c>
      <c r="D151" s="51"/>
      <c r="E151" s="46">
        <v>12457.488332948</v>
      </c>
      <c r="F151">
        <v>40</v>
      </c>
      <c r="G151" t="s">
        <v>39</v>
      </c>
      <c r="I151" s="46">
        <v>0</v>
      </c>
      <c r="J151" s="46">
        <v>7917.4883329479799</v>
      </c>
      <c r="K151" s="46">
        <v>4540</v>
      </c>
      <c r="L151" s="46">
        <v>0</v>
      </c>
      <c r="M151" s="46">
        <v>0</v>
      </c>
      <c r="N151" s="46">
        <v>0</v>
      </c>
    </row>
    <row r="152" spans="2:14" outlineLevel="1" x14ac:dyDescent="0.25">
      <c r="B152">
        <v>2187</v>
      </c>
      <c r="C152" s="51" t="s">
        <v>173</v>
      </c>
      <c r="D152" s="51"/>
      <c r="E152" s="46">
        <v>8160</v>
      </c>
      <c r="F152">
        <v>40</v>
      </c>
      <c r="G152" t="s">
        <v>39</v>
      </c>
      <c r="I152" s="46">
        <v>0</v>
      </c>
      <c r="J152" s="46">
        <v>0</v>
      </c>
      <c r="K152" s="46">
        <v>0</v>
      </c>
      <c r="L152" s="46">
        <v>8160</v>
      </c>
      <c r="M152" s="46">
        <v>0</v>
      </c>
      <c r="N152" s="46">
        <v>0</v>
      </c>
    </row>
    <row r="153" spans="2:14" outlineLevel="1" x14ac:dyDescent="0.25">
      <c r="B153">
        <v>2149</v>
      </c>
      <c r="C153" s="51" t="s">
        <v>48</v>
      </c>
      <c r="D153" s="51"/>
      <c r="E153" s="46">
        <v>3391.3043478260902</v>
      </c>
      <c r="F153">
        <v>40</v>
      </c>
      <c r="G153" t="s">
        <v>39</v>
      </c>
      <c r="I153" s="46">
        <v>0</v>
      </c>
      <c r="J153" s="46">
        <v>0</v>
      </c>
      <c r="K153" s="46">
        <v>0</v>
      </c>
      <c r="L153" s="46">
        <v>0</v>
      </c>
      <c r="M153" s="46">
        <v>0</v>
      </c>
      <c r="N153" s="46">
        <v>3391.3043478260902</v>
      </c>
    </row>
    <row r="154" spans="2:14" outlineLevel="1" x14ac:dyDescent="0.25">
      <c r="B154">
        <v>6480</v>
      </c>
      <c r="C154" s="51" t="s">
        <v>96</v>
      </c>
      <c r="D154" s="51"/>
      <c r="E154" s="46">
        <v>113.1</v>
      </c>
      <c r="F154">
        <v>1</v>
      </c>
      <c r="G154" t="s">
        <v>34</v>
      </c>
      <c r="I154" s="46">
        <v>0</v>
      </c>
      <c r="J154" s="46">
        <v>0</v>
      </c>
      <c r="K154" s="46">
        <v>0</v>
      </c>
      <c r="L154" s="46">
        <v>113.1</v>
      </c>
      <c r="M154" s="46">
        <v>0</v>
      </c>
      <c r="N154" s="46">
        <v>0</v>
      </c>
    </row>
    <row r="155" spans="2:14" outlineLevel="1" x14ac:dyDescent="0.25">
      <c r="B155">
        <v>2150</v>
      </c>
      <c r="C155" s="51" t="s">
        <v>38</v>
      </c>
      <c r="D155" s="51"/>
      <c r="E155" s="46">
        <v>3391.3043478260902</v>
      </c>
      <c r="F155">
        <v>400</v>
      </c>
      <c r="G155" t="s">
        <v>43</v>
      </c>
      <c r="I155" s="46">
        <v>0</v>
      </c>
      <c r="J155" s="46">
        <v>0</v>
      </c>
      <c r="K155" s="46">
        <v>0</v>
      </c>
      <c r="L155" s="46">
        <v>0</v>
      </c>
      <c r="M155" s="46">
        <v>0</v>
      </c>
      <c r="N155" s="46">
        <v>3391.3043478260902</v>
      </c>
    </row>
    <row r="156" spans="2:14" outlineLevel="1" x14ac:dyDescent="0.25">
      <c r="B156">
        <v>2490</v>
      </c>
      <c r="C156" s="51" t="s">
        <v>37</v>
      </c>
      <c r="D156" s="51"/>
      <c r="E156" s="46">
        <v>1200</v>
      </c>
      <c r="F156">
        <v>400</v>
      </c>
      <c r="G156" t="s">
        <v>43</v>
      </c>
      <c r="I156" s="46">
        <v>0</v>
      </c>
      <c r="J156" s="46">
        <v>0</v>
      </c>
      <c r="K156" s="46">
        <v>0</v>
      </c>
      <c r="L156" s="46">
        <v>1200</v>
      </c>
      <c r="M156" s="46">
        <v>0</v>
      </c>
      <c r="N156" s="46">
        <v>0</v>
      </c>
    </row>
    <row r="157" spans="2:14" outlineLevel="1" x14ac:dyDescent="0.25">
      <c r="C157" s="47" t="s">
        <v>174</v>
      </c>
      <c r="D157" s="47"/>
      <c r="E157" s="46">
        <v>246594.95498124699</v>
      </c>
      <c r="F157">
        <v>1</v>
      </c>
      <c r="G157" t="s">
        <v>34</v>
      </c>
      <c r="I157" s="46">
        <v>580</v>
      </c>
      <c r="J157" s="46">
        <v>88555.522760279098</v>
      </c>
      <c r="K157" s="46">
        <v>88067.85</v>
      </c>
      <c r="L157" s="46">
        <v>46577.133312004698</v>
      </c>
      <c r="M157" s="46">
        <v>1868</v>
      </c>
      <c r="N157" s="46">
        <v>20946.448908962899</v>
      </c>
    </row>
    <row r="158" spans="2:14" outlineLevel="1" x14ac:dyDescent="0.25">
      <c r="C158" s="48" t="s">
        <v>175</v>
      </c>
      <c r="D158" s="48"/>
      <c r="E158" s="46">
        <v>1790.8340459271999</v>
      </c>
      <c r="F158">
        <v>25</v>
      </c>
      <c r="G158" t="s">
        <v>40</v>
      </c>
      <c r="I158" s="46">
        <v>0</v>
      </c>
      <c r="J158" s="46">
        <v>801.62972355491297</v>
      </c>
      <c r="K158" s="46">
        <v>637.25</v>
      </c>
      <c r="L158" s="46">
        <v>211.37460687500001</v>
      </c>
      <c r="M158" s="46">
        <v>0</v>
      </c>
      <c r="N158" s="46">
        <v>140.57971549728299</v>
      </c>
    </row>
    <row r="159" spans="2:14" outlineLevel="1" x14ac:dyDescent="0.25">
      <c r="B159">
        <v>5004</v>
      </c>
      <c r="C159" s="51" t="s">
        <v>56</v>
      </c>
      <c r="D159" s="51"/>
      <c r="E159" s="46">
        <v>1438.87972355491</v>
      </c>
      <c r="F159">
        <v>25</v>
      </c>
      <c r="G159" t="s">
        <v>40</v>
      </c>
      <c r="I159" s="46">
        <v>0</v>
      </c>
      <c r="J159" s="46">
        <v>801.62972355491297</v>
      </c>
      <c r="K159" s="46">
        <v>637.25</v>
      </c>
      <c r="L159" s="46">
        <v>0</v>
      </c>
      <c r="M159" s="46">
        <v>0</v>
      </c>
      <c r="N159" s="46">
        <v>0</v>
      </c>
    </row>
    <row r="160" spans="2:14" outlineLevel="1" x14ac:dyDescent="0.25">
      <c r="B160">
        <v>2185</v>
      </c>
      <c r="C160" s="51" t="s">
        <v>51</v>
      </c>
      <c r="D160" s="51"/>
      <c r="E160" s="46">
        <v>190.57985378750001</v>
      </c>
      <c r="F160">
        <v>9.6496128500000005</v>
      </c>
      <c r="G160" t="s">
        <v>43</v>
      </c>
      <c r="I160" s="46">
        <v>0</v>
      </c>
      <c r="J160" s="46">
        <v>0</v>
      </c>
      <c r="K160" s="46">
        <v>0</v>
      </c>
      <c r="L160" s="46">
        <v>190.57985378750001</v>
      </c>
      <c r="M160" s="46">
        <v>0</v>
      </c>
      <c r="N160" s="46">
        <v>0</v>
      </c>
    </row>
    <row r="161" spans="2:14" outlineLevel="1" x14ac:dyDescent="0.25">
      <c r="B161">
        <v>2149</v>
      </c>
      <c r="C161" s="51" t="s">
        <v>48</v>
      </c>
      <c r="D161" s="51"/>
      <c r="E161" s="46">
        <v>81.811935032608702</v>
      </c>
      <c r="F161">
        <v>9.6496128500000005</v>
      </c>
      <c r="G161" t="s">
        <v>43</v>
      </c>
      <c r="I161" s="46">
        <v>0</v>
      </c>
      <c r="J161" s="46">
        <v>0</v>
      </c>
      <c r="K161" s="46">
        <v>0</v>
      </c>
      <c r="L161" s="46">
        <v>0</v>
      </c>
      <c r="M161" s="46">
        <v>0</v>
      </c>
      <c r="N161" s="46">
        <v>81.811935032608702</v>
      </c>
    </row>
    <row r="162" spans="2:14" outlineLevel="1" x14ac:dyDescent="0.25">
      <c r="B162">
        <v>2150</v>
      </c>
      <c r="C162" s="51" t="s">
        <v>38</v>
      </c>
      <c r="D162" s="51"/>
      <c r="E162" s="46">
        <v>58.767780464673898</v>
      </c>
      <c r="F162">
        <v>6.9315843624999998</v>
      </c>
      <c r="G162" t="s">
        <v>43</v>
      </c>
      <c r="I162" s="46">
        <v>0</v>
      </c>
      <c r="J162" s="46">
        <v>0</v>
      </c>
      <c r="K162" s="46">
        <v>0</v>
      </c>
      <c r="L162" s="46">
        <v>0</v>
      </c>
      <c r="M162" s="46">
        <v>0</v>
      </c>
      <c r="N162" s="46">
        <v>58.767780464673898</v>
      </c>
    </row>
    <row r="163" spans="2:14" outlineLevel="1" x14ac:dyDescent="0.25">
      <c r="B163">
        <v>2490</v>
      </c>
      <c r="C163" s="51" t="s">
        <v>37</v>
      </c>
      <c r="D163" s="51"/>
      <c r="E163" s="46">
        <v>20.794753087499998</v>
      </c>
      <c r="F163">
        <v>6.9315843624999998</v>
      </c>
      <c r="G163" t="s">
        <v>43</v>
      </c>
      <c r="I163" s="46">
        <v>0</v>
      </c>
      <c r="J163" s="46">
        <v>0</v>
      </c>
      <c r="K163" s="46">
        <v>0</v>
      </c>
      <c r="L163" s="46">
        <v>20.794753087499998</v>
      </c>
      <c r="M163" s="46">
        <v>0</v>
      </c>
      <c r="N163" s="46">
        <v>0</v>
      </c>
    </row>
    <row r="164" spans="2:14" outlineLevel="1" x14ac:dyDescent="0.25">
      <c r="C164" s="48" t="s">
        <v>176</v>
      </c>
      <c r="D164" s="48"/>
      <c r="E164" s="46">
        <v>7420.9708491031797</v>
      </c>
      <c r="F164">
        <v>100</v>
      </c>
      <c r="G164" t="s">
        <v>40</v>
      </c>
      <c r="I164" s="46">
        <v>0</v>
      </c>
      <c r="J164" s="46">
        <v>2510.3067042531802</v>
      </c>
      <c r="K164" s="46">
        <v>3309</v>
      </c>
      <c r="L164" s="46">
        <v>957.57449897499998</v>
      </c>
      <c r="M164" s="46">
        <v>0</v>
      </c>
      <c r="N164" s="46">
        <v>644.08964587499997</v>
      </c>
    </row>
    <row r="165" spans="2:14" outlineLevel="1" x14ac:dyDescent="0.25">
      <c r="B165">
        <v>5006</v>
      </c>
      <c r="C165" s="51" t="s">
        <v>57</v>
      </c>
      <c r="D165" s="51"/>
      <c r="E165" s="46">
        <v>5819.3067042531802</v>
      </c>
      <c r="F165">
        <v>100</v>
      </c>
      <c r="G165" t="s">
        <v>40</v>
      </c>
      <c r="I165" s="46">
        <v>0</v>
      </c>
      <c r="J165" s="46">
        <v>2510.3067042531802</v>
      </c>
      <c r="K165" s="46">
        <v>3309</v>
      </c>
      <c r="L165" s="46">
        <v>0</v>
      </c>
      <c r="M165" s="46">
        <v>0</v>
      </c>
      <c r="N165" s="46">
        <v>0</v>
      </c>
    </row>
    <row r="166" spans="2:14" outlineLevel="1" x14ac:dyDescent="0.25">
      <c r="B166">
        <v>2185</v>
      </c>
      <c r="C166" s="51" t="s">
        <v>51</v>
      </c>
      <c r="D166" s="51"/>
      <c r="E166" s="46">
        <v>860.35227684999995</v>
      </c>
      <c r="F166">
        <v>43.562140599999999</v>
      </c>
      <c r="G166" t="s">
        <v>43</v>
      </c>
      <c r="I166" s="46">
        <v>0</v>
      </c>
      <c r="J166" s="46">
        <v>0</v>
      </c>
      <c r="K166" s="46">
        <v>0</v>
      </c>
      <c r="L166" s="46">
        <v>860.35227684999995</v>
      </c>
      <c r="M166" s="46">
        <v>0</v>
      </c>
      <c r="N166" s="46">
        <v>0</v>
      </c>
    </row>
    <row r="167" spans="2:14" outlineLevel="1" x14ac:dyDescent="0.25">
      <c r="B167">
        <v>2149</v>
      </c>
      <c r="C167" s="51" t="s">
        <v>48</v>
      </c>
      <c r="D167" s="51"/>
      <c r="E167" s="46">
        <v>369.33119204347798</v>
      </c>
      <c r="F167">
        <v>43.562140599999999</v>
      </c>
      <c r="G167" t="s">
        <v>43</v>
      </c>
      <c r="I167" s="46">
        <v>0</v>
      </c>
      <c r="J167" s="46">
        <v>0</v>
      </c>
      <c r="K167" s="46">
        <v>0</v>
      </c>
      <c r="L167" s="46">
        <v>0</v>
      </c>
      <c r="M167" s="46">
        <v>0</v>
      </c>
      <c r="N167" s="46">
        <v>369.33119204347798</v>
      </c>
    </row>
    <row r="168" spans="2:14" outlineLevel="1" x14ac:dyDescent="0.25">
      <c r="B168">
        <v>2150</v>
      </c>
      <c r="C168" s="51" t="s">
        <v>38</v>
      </c>
      <c r="D168" s="51"/>
      <c r="E168" s="46">
        <v>274.75845383152199</v>
      </c>
      <c r="F168">
        <v>32.407407374999998</v>
      </c>
      <c r="G168" t="s">
        <v>43</v>
      </c>
      <c r="I168" s="46">
        <v>0</v>
      </c>
      <c r="J168" s="46">
        <v>0</v>
      </c>
      <c r="K168" s="46">
        <v>0</v>
      </c>
      <c r="L168" s="46">
        <v>0</v>
      </c>
      <c r="M168" s="46">
        <v>0</v>
      </c>
      <c r="N168" s="46">
        <v>274.75845383152199</v>
      </c>
    </row>
    <row r="169" spans="2:14" outlineLevel="1" x14ac:dyDescent="0.25">
      <c r="B169">
        <v>2490</v>
      </c>
      <c r="C169" s="51" t="s">
        <v>37</v>
      </c>
      <c r="D169" s="51"/>
      <c r="E169" s="46">
        <v>97.222222125000002</v>
      </c>
      <c r="F169">
        <v>32.407407374999998</v>
      </c>
      <c r="G169" t="s">
        <v>43</v>
      </c>
      <c r="I169" s="46">
        <v>0</v>
      </c>
      <c r="J169" s="46">
        <v>0</v>
      </c>
      <c r="K169" s="46">
        <v>0</v>
      </c>
      <c r="L169" s="46">
        <v>97.222222125000002</v>
      </c>
      <c r="M169" s="46">
        <v>0</v>
      </c>
      <c r="N169" s="46">
        <v>0</v>
      </c>
    </row>
    <row r="170" spans="2:14" outlineLevel="1" x14ac:dyDescent="0.25">
      <c r="C170" s="48" t="s">
        <v>177</v>
      </c>
      <c r="D170" s="48"/>
      <c r="E170" s="46">
        <v>52963.817975755497</v>
      </c>
      <c r="F170">
        <v>695</v>
      </c>
      <c r="G170" t="s">
        <v>40</v>
      </c>
      <c r="I170" s="46">
        <v>0</v>
      </c>
      <c r="J170" s="46">
        <v>17446.6315945596</v>
      </c>
      <c r="K170" s="46">
        <v>22997.55</v>
      </c>
      <c r="L170" s="46">
        <v>7450.0518076062499</v>
      </c>
      <c r="M170" s="46">
        <v>0</v>
      </c>
      <c r="N170" s="46">
        <v>5069.5845735896701</v>
      </c>
    </row>
    <row r="171" spans="2:14" outlineLevel="1" x14ac:dyDescent="0.25">
      <c r="B171">
        <v>5008</v>
      </c>
      <c r="C171" s="51" t="s">
        <v>58</v>
      </c>
      <c r="D171" s="51"/>
      <c r="E171" s="46">
        <v>40444.181594559603</v>
      </c>
      <c r="F171">
        <v>695</v>
      </c>
      <c r="G171" t="s">
        <v>40</v>
      </c>
      <c r="I171" s="46">
        <v>0</v>
      </c>
      <c r="J171" s="46">
        <v>17446.6315945596</v>
      </c>
      <c r="K171" s="46">
        <v>22997.55</v>
      </c>
      <c r="L171" s="46">
        <v>0</v>
      </c>
      <c r="M171" s="46">
        <v>0</v>
      </c>
      <c r="N171" s="46">
        <v>0</v>
      </c>
    </row>
    <row r="172" spans="2:14" outlineLevel="1" x14ac:dyDescent="0.25">
      <c r="B172">
        <v>2185</v>
      </c>
      <c r="C172" s="51" t="s">
        <v>51</v>
      </c>
      <c r="D172" s="51"/>
      <c r="E172" s="46">
        <v>6669.2493368187497</v>
      </c>
      <c r="F172">
        <v>337.68351072500002</v>
      </c>
      <c r="G172" t="s">
        <v>43</v>
      </c>
      <c r="I172" s="46">
        <v>0</v>
      </c>
      <c r="J172" s="46">
        <v>0</v>
      </c>
      <c r="K172" s="46">
        <v>0</v>
      </c>
      <c r="L172" s="46">
        <v>6669.2493368187497</v>
      </c>
      <c r="M172" s="46">
        <v>0</v>
      </c>
      <c r="N172" s="46">
        <v>0</v>
      </c>
    </row>
    <row r="173" spans="2:14" outlineLevel="1" x14ac:dyDescent="0.25">
      <c r="B173">
        <v>2149</v>
      </c>
      <c r="C173" s="51" t="s">
        <v>48</v>
      </c>
      <c r="D173" s="51"/>
      <c r="E173" s="46">
        <v>2862.9688952771698</v>
      </c>
      <c r="F173">
        <v>337.68351072500002</v>
      </c>
      <c r="G173" t="s">
        <v>43</v>
      </c>
      <c r="I173" s="46">
        <v>0</v>
      </c>
      <c r="J173" s="46">
        <v>0</v>
      </c>
      <c r="K173" s="46">
        <v>0</v>
      </c>
      <c r="L173" s="46">
        <v>0</v>
      </c>
      <c r="M173" s="46">
        <v>0</v>
      </c>
      <c r="N173" s="46">
        <v>2862.9688952771698</v>
      </c>
    </row>
    <row r="174" spans="2:14" outlineLevel="1" x14ac:dyDescent="0.25">
      <c r="B174">
        <v>2150</v>
      </c>
      <c r="C174" s="51" t="s">
        <v>38</v>
      </c>
      <c r="D174" s="51"/>
      <c r="E174" s="46">
        <v>2206.6156783125002</v>
      </c>
      <c r="F174">
        <v>260.26749026250002</v>
      </c>
      <c r="G174" t="s">
        <v>43</v>
      </c>
      <c r="I174" s="46">
        <v>0</v>
      </c>
      <c r="J174" s="46">
        <v>0</v>
      </c>
      <c r="K174" s="46">
        <v>0</v>
      </c>
      <c r="L174" s="46">
        <v>0</v>
      </c>
      <c r="M174" s="46">
        <v>0</v>
      </c>
      <c r="N174" s="46">
        <v>2206.6156783125002</v>
      </c>
    </row>
    <row r="175" spans="2:14" outlineLevel="1" x14ac:dyDescent="0.25">
      <c r="B175">
        <v>2490</v>
      </c>
      <c r="C175" s="51" t="s">
        <v>37</v>
      </c>
      <c r="D175" s="51"/>
      <c r="E175" s="46">
        <v>780.80247078750006</v>
      </c>
      <c r="F175">
        <v>260.26749026250002</v>
      </c>
      <c r="G175" t="s">
        <v>43</v>
      </c>
      <c r="I175" s="46">
        <v>0</v>
      </c>
      <c r="J175" s="46">
        <v>0</v>
      </c>
      <c r="K175" s="46">
        <v>0</v>
      </c>
      <c r="L175" s="46">
        <v>780.80247078750006</v>
      </c>
      <c r="M175" s="46">
        <v>0</v>
      </c>
      <c r="N175" s="46">
        <v>0</v>
      </c>
    </row>
    <row r="176" spans="2:14" outlineLevel="1" x14ac:dyDescent="0.25">
      <c r="C176" s="48" t="s">
        <v>178</v>
      </c>
      <c r="D176" s="48"/>
      <c r="E176" s="46">
        <v>52592.676488892001</v>
      </c>
      <c r="F176">
        <v>672</v>
      </c>
      <c r="G176" t="s">
        <v>40</v>
      </c>
      <c r="I176" s="46">
        <v>0</v>
      </c>
      <c r="J176" s="46">
        <v>16869.261052581402</v>
      </c>
      <c r="K176" s="46">
        <v>22236.48</v>
      </c>
      <c r="L176" s="46">
        <v>7987.557517968</v>
      </c>
      <c r="M176" s="46">
        <v>0</v>
      </c>
      <c r="N176" s="46">
        <v>5499.3779183426104</v>
      </c>
    </row>
    <row r="177" spans="2:14" outlineLevel="1" x14ac:dyDescent="0.25">
      <c r="B177">
        <v>5010</v>
      </c>
      <c r="C177" s="51" t="s">
        <v>97</v>
      </c>
      <c r="D177" s="51"/>
      <c r="E177" s="46">
        <v>39105.741052581398</v>
      </c>
      <c r="F177">
        <v>672</v>
      </c>
      <c r="G177" t="s">
        <v>40</v>
      </c>
      <c r="I177" s="46">
        <v>0</v>
      </c>
      <c r="J177" s="46">
        <v>16869.261052581402</v>
      </c>
      <c r="K177" s="46">
        <v>22236.48</v>
      </c>
      <c r="L177" s="46">
        <v>0</v>
      </c>
      <c r="M177" s="46">
        <v>0</v>
      </c>
      <c r="N177" s="46">
        <v>0</v>
      </c>
    </row>
    <row r="178" spans="2:14" outlineLevel="1" x14ac:dyDescent="0.25">
      <c r="B178">
        <v>2185</v>
      </c>
      <c r="C178" s="51" t="s">
        <v>51</v>
      </c>
      <c r="D178" s="51"/>
      <c r="E178" s="46">
        <v>7123.7056663920002</v>
      </c>
      <c r="F178">
        <v>360.69395779199999</v>
      </c>
      <c r="G178" t="s">
        <v>43</v>
      </c>
      <c r="I178" s="46">
        <v>0</v>
      </c>
      <c r="J178" s="46">
        <v>0</v>
      </c>
      <c r="K178" s="46">
        <v>0</v>
      </c>
      <c r="L178" s="46">
        <v>7123.7056663920002</v>
      </c>
      <c r="M178" s="46">
        <v>0</v>
      </c>
      <c r="N178" s="46">
        <v>0</v>
      </c>
    </row>
    <row r="179" spans="2:14" outlineLevel="1" x14ac:dyDescent="0.25">
      <c r="B179">
        <v>2149</v>
      </c>
      <c r="C179" s="51" t="s">
        <v>48</v>
      </c>
      <c r="D179" s="51"/>
      <c r="E179" s="46">
        <v>3058.05746823652</v>
      </c>
      <c r="F179">
        <v>360.69395779199999</v>
      </c>
      <c r="G179" t="s">
        <v>43</v>
      </c>
      <c r="I179" s="46">
        <v>0</v>
      </c>
      <c r="J179" s="46">
        <v>0</v>
      </c>
      <c r="K179" s="46">
        <v>0</v>
      </c>
      <c r="L179" s="46">
        <v>0</v>
      </c>
      <c r="M179" s="46">
        <v>0</v>
      </c>
      <c r="N179" s="46">
        <v>3058.05746823652</v>
      </c>
    </row>
    <row r="180" spans="2:14" outlineLevel="1" x14ac:dyDescent="0.25">
      <c r="B180">
        <v>2150</v>
      </c>
      <c r="C180" s="51" t="s">
        <v>38</v>
      </c>
      <c r="D180" s="51"/>
      <c r="E180" s="46">
        <v>2441.32045010609</v>
      </c>
      <c r="F180">
        <v>287.95061719199998</v>
      </c>
      <c r="G180" t="s">
        <v>43</v>
      </c>
      <c r="I180" s="46">
        <v>0</v>
      </c>
      <c r="J180" s="46">
        <v>0</v>
      </c>
      <c r="K180" s="46">
        <v>0</v>
      </c>
      <c r="L180" s="46">
        <v>0</v>
      </c>
      <c r="M180" s="46">
        <v>0</v>
      </c>
      <c r="N180" s="46">
        <v>2441.32045010609</v>
      </c>
    </row>
    <row r="181" spans="2:14" outlineLevel="1" x14ac:dyDescent="0.25">
      <c r="B181">
        <v>2490</v>
      </c>
      <c r="C181" s="51" t="s">
        <v>37</v>
      </c>
      <c r="D181" s="51"/>
      <c r="E181" s="46">
        <v>863.85185157599994</v>
      </c>
      <c r="F181">
        <v>287.95061719199998</v>
      </c>
      <c r="G181" t="s">
        <v>43</v>
      </c>
      <c r="I181" s="46">
        <v>0</v>
      </c>
      <c r="J181" s="46">
        <v>0</v>
      </c>
      <c r="K181" s="46">
        <v>0</v>
      </c>
      <c r="L181" s="46">
        <v>863.85185157599994</v>
      </c>
      <c r="M181" s="46">
        <v>0</v>
      </c>
      <c r="N181" s="46">
        <v>0</v>
      </c>
    </row>
    <row r="182" spans="2:14" outlineLevel="1" x14ac:dyDescent="0.25">
      <c r="C182" s="48" t="s">
        <v>179</v>
      </c>
      <c r="D182" s="48"/>
      <c r="E182" s="46">
        <v>55701.708566403802</v>
      </c>
      <c r="F182">
        <v>693</v>
      </c>
      <c r="G182" t="s">
        <v>40</v>
      </c>
      <c r="I182" s="46">
        <v>0</v>
      </c>
      <c r="J182" s="46">
        <v>17396.4254604745</v>
      </c>
      <c r="K182" s="46">
        <v>22931.37</v>
      </c>
      <c r="L182" s="46">
        <v>9061.6589275905008</v>
      </c>
      <c r="M182" s="46">
        <v>0</v>
      </c>
      <c r="N182" s="46">
        <v>6312.2541783387996</v>
      </c>
    </row>
    <row r="183" spans="2:14" outlineLevel="1" x14ac:dyDescent="0.25">
      <c r="B183">
        <v>5012</v>
      </c>
      <c r="C183" s="51" t="s">
        <v>59</v>
      </c>
      <c r="D183" s="51"/>
      <c r="E183" s="46">
        <v>40327.795460474503</v>
      </c>
      <c r="F183">
        <v>693</v>
      </c>
      <c r="G183" t="s">
        <v>40</v>
      </c>
      <c r="I183" s="46">
        <v>0</v>
      </c>
      <c r="J183" s="46">
        <v>17396.4254604745</v>
      </c>
      <c r="K183" s="46">
        <v>22931.37</v>
      </c>
      <c r="L183" s="46">
        <v>0</v>
      </c>
      <c r="M183" s="46">
        <v>0</v>
      </c>
      <c r="N183" s="46">
        <v>0</v>
      </c>
    </row>
    <row r="184" spans="2:14" outlineLevel="1" x14ac:dyDescent="0.25">
      <c r="B184">
        <v>2185</v>
      </c>
      <c r="C184" s="51" t="s">
        <v>51</v>
      </c>
      <c r="D184" s="51"/>
      <c r="E184" s="46">
        <v>8051.033926782</v>
      </c>
      <c r="F184">
        <v>407.64728743199998</v>
      </c>
      <c r="G184" t="s">
        <v>43</v>
      </c>
      <c r="I184" s="46">
        <v>0</v>
      </c>
      <c r="J184" s="46">
        <v>0</v>
      </c>
      <c r="K184" s="46">
        <v>0</v>
      </c>
      <c r="L184" s="46">
        <v>8051.033926782</v>
      </c>
      <c r="M184" s="46">
        <v>0</v>
      </c>
      <c r="N184" s="46">
        <v>0</v>
      </c>
    </row>
    <row r="185" spans="2:14" outlineLevel="1" x14ac:dyDescent="0.25">
      <c r="B185">
        <v>2149</v>
      </c>
      <c r="C185" s="51" t="s">
        <v>48</v>
      </c>
      <c r="D185" s="51"/>
      <c r="E185" s="46">
        <v>3456.14004561913</v>
      </c>
      <c r="F185">
        <v>407.64728743199998</v>
      </c>
      <c r="G185" t="s">
        <v>43</v>
      </c>
      <c r="I185" s="46">
        <v>0</v>
      </c>
      <c r="J185" s="46">
        <v>0</v>
      </c>
      <c r="K185" s="46">
        <v>0</v>
      </c>
      <c r="L185" s="46">
        <v>0</v>
      </c>
      <c r="M185" s="46">
        <v>0</v>
      </c>
      <c r="N185" s="46">
        <v>3456.14004561913</v>
      </c>
    </row>
    <row r="186" spans="2:14" outlineLevel="1" x14ac:dyDescent="0.25">
      <c r="B186">
        <v>2150</v>
      </c>
      <c r="C186" s="51" t="s">
        <v>38</v>
      </c>
      <c r="D186" s="51"/>
      <c r="E186" s="46">
        <v>2856.1141327196701</v>
      </c>
      <c r="F186">
        <v>336.87500026949999</v>
      </c>
      <c r="G186" t="s">
        <v>43</v>
      </c>
      <c r="I186" s="46">
        <v>0</v>
      </c>
      <c r="J186" s="46">
        <v>0</v>
      </c>
      <c r="K186" s="46">
        <v>0</v>
      </c>
      <c r="L186" s="46">
        <v>0</v>
      </c>
      <c r="M186" s="46">
        <v>0</v>
      </c>
      <c r="N186" s="46">
        <v>2856.1141327196701</v>
      </c>
    </row>
    <row r="187" spans="2:14" outlineLevel="1" x14ac:dyDescent="0.25">
      <c r="B187">
        <v>2490</v>
      </c>
      <c r="C187" s="51" t="s">
        <v>37</v>
      </c>
      <c r="D187" s="51"/>
      <c r="E187" s="46">
        <v>1010.6250008085</v>
      </c>
      <c r="F187">
        <v>336.87500026949999</v>
      </c>
      <c r="G187" t="s">
        <v>43</v>
      </c>
      <c r="I187" s="46">
        <v>0</v>
      </c>
      <c r="J187" s="46">
        <v>0</v>
      </c>
      <c r="K187" s="46">
        <v>0</v>
      </c>
      <c r="L187" s="46">
        <v>1010.6250008085</v>
      </c>
      <c r="M187" s="46">
        <v>0</v>
      </c>
      <c r="N187" s="46">
        <v>0</v>
      </c>
    </row>
    <row r="188" spans="2:14" outlineLevel="1" x14ac:dyDescent="0.25">
      <c r="C188" s="48" t="s">
        <v>180</v>
      </c>
      <c r="D188" s="48"/>
      <c r="E188" s="46">
        <v>3904.4200931278601</v>
      </c>
      <c r="F188">
        <v>40</v>
      </c>
      <c r="G188" t="s">
        <v>40</v>
      </c>
      <c r="I188" s="46">
        <v>0</v>
      </c>
      <c r="J188" s="46">
        <v>1282.60755768786</v>
      </c>
      <c r="K188" s="46">
        <v>1290.2</v>
      </c>
      <c r="L188" s="46">
        <v>620.97791899000003</v>
      </c>
      <c r="M188" s="46">
        <v>268</v>
      </c>
      <c r="N188" s="46">
        <v>442.63461645000001</v>
      </c>
    </row>
    <row r="189" spans="2:14" outlineLevel="1" x14ac:dyDescent="0.25">
      <c r="B189">
        <v>5015</v>
      </c>
      <c r="C189" s="51" t="s">
        <v>60</v>
      </c>
      <c r="D189" s="51"/>
      <c r="E189" s="46">
        <v>2572.80755768786</v>
      </c>
      <c r="F189">
        <v>40</v>
      </c>
      <c r="G189" t="s">
        <v>40</v>
      </c>
      <c r="I189" s="46">
        <v>0</v>
      </c>
      <c r="J189" s="46">
        <v>1282.60755768786</v>
      </c>
      <c r="K189" s="46">
        <v>1290.2</v>
      </c>
      <c r="L189" s="46">
        <v>0</v>
      </c>
      <c r="M189" s="46">
        <v>0</v>
      </c>
      <c r="N189" s="46">
        <v>0</v>
      </c>
    </row>
    <row r="190" spans="2:14" outlineLevel="1" x14ac:dyDescent="0.25">
      <c r="B190">
        <v>2185</v>
      </c>
      <c r="C190" s="51" t="s">
        <v>51</v>
      </c>
      <c r="D190" s="51"/>
      <c r="E190" s="46">
        <v>547.52112880000004</v>
      </c>
      <c r="F190">
        <v>27.7225888</v>
      </c>
      <c r="G190" t="s">
        <v>43</v>
      </c>
      <c r="I190" s="46">
        <v>0</v>
      </c>
      <c r="J190" s="46">
        <v>0</v>
      </c>
      <c r="K190" s="46">
        <v>0</v>
      </c>
      <c r="L190" s="46">
        <v>547.52112880000004</v>
      </c>
      <c r="M190" s="46">
        <v>0</v>
      </c>
      <c r="N190" s="46">
        <v>0</v>
      </c>
    </row>
    <row r="191" spans="2:14" outlineLevel="1" x14ac:dyDescent="0.25">
      <c r="B191">
        <v>2149</v>
      </c>
      <c r="C191" s="51" t="s">
        <v>48</v>
      </c>
      <c r="D191" s="51"/>
      <c r="E191" s="46">
        <v>235.039339826087</v>
      </c>
      <c r="F191">
        <v>27.7225888</v>
      </c>
      <c r="G191" t="s">
        <v>43</v>
      </c>
      <c r="I191" s="46">
        <v>0</v>
      </c>
      <c r="J191" s="46">
        <v>0</v>
      </c>
      <c r="K191" s="46">
        <v>0</v>
      </c>
      <c r="L191" s="46">
        <v>0</v>
      </c>
      <c r="M191" s="46">
        <v>0</v>
      </c>
      <c r="N191" s="46">
        <v>235.039339826087</v>
      </c>
    </row>
    <row r="192" spans="2:14" outlineLevel="1" x14ac:dyDescent="0.25">
      <c r="B192">
        <v>5480</v>
      </c>
      <c r="C192" s="51" t="s">
        <v>63</v>
      </c>
      <c r="D192" s="51"/>
      <c r="E192" s="46">
        <v>268</v>
      </c>
      <c r="F192">
        <v>40</v>
      </c>
      <c r="G192" t="s">
        <v>40</v>
      </c>
      <c r="I192" s="46">
        <v>0</v>
      </c>
      <c r="J192" s="46">
        <v>0</v>
      </c>
      <c r="K192" s="46">
        <v>0</v>
      </c>
      <c r="L192" s="46">
        <v>0</v>
      </c>
      <c r="M192" s="46">
        <v>268</v>
      </c>
      <c r="N192" s="46">
        <v>0</v>
      </c>
    </row>
    <row r="193" spans="2:14" outlineLevel="1" x14ac:dyDescent="0.25">
      <c r="B193">
        <v>2150</v>
      </c>
      <c r="C193" s="51" t="s">
        <v>38</v>
      </c>
      <c r="D193" s="51"/>
      <c r="E193" s="46">
        <v>207.59527662391301</v>
      </c>
      <c r="F193">
        <v>24.485596730000001</v>
      </c>
      <c r="G193" t="s">
        <v>43</v>
      </c>
      <c r="I193" s="46">
        <v>0</v>
      </c>
      <c r="J193" s="46">
        <v>0</v>
      </c>
      <c r="K193" s="46">
        <v>0</v>
      </c>
      <c r="L193" s="46">
        <v>0</v>
      </c>
      <c r="M193" s="46">
        <v>0</v>
      </c>
      <c r="N193" s="46">
        <v>207.59527662391301</v>
      </c>
    </row>
    <row r="194" spans="2:14" outlineLevel="1" x14ac:dyDescent="0.25">
      <c r="B194">
        <v>2490</v>
      </c>
      <c r="C194" s="51" t="s">
        <v>37</v>
      </c>
      <c r="D194" s="51"/>
      <c r="E194" s="46">
        <v>73.456790190000007</v>
      </c>
      <c r="F194">
        <v>24.485596730000001</v>
      </c>
      <c r="G194" t="s">
        <v>43</v>
      </c>
      <c r="I194" s="46">
        <v>0</v>
      </c>
      <c r="J194" s="46">
        <v>0</v>
      </c>
      <c r="K194" s="46">
        <v>0</v>
      </c>
      <c r="L194" s="46">
        <v>73.456790190000007</v>
      </c>
      <c r="M194" s="46">
        <v>0</v>
      </c>
      <c r="N194" s="46">
        <v>0</v>
      </c>
    </row>
    <row r="195" spans="2:14" outlineLevel="1" x14ac:dyDescent="0.25">
      <c r="C195" s="48" t="s">
        <v>181</v>
      </c>
      <c r="D195" s="48"/>
      <c r="E195" s="46">
        <v>17720.876609688399</v>
      </c>
      <c r="F195">
        <v>1</v>
      </c>
      <c r="G195" t="s">
        <v>39</v>
      </c>
      <c r="I195" s="46">
        <v>0</v>
      </c>
      <c r="J195" s="46">
        <v>1850.68095751445</v>
      </c>
      <c r="K195" s="46">
        <v>1866.5</v>
      </c>
      <c r="L195" s="46">
        <v>11301.25</v>
      </c>
      <c r="M195" s="46">
        <v>0</v>
      </c>
      <c r="N195" s="46">
        <v>2702.4456521739098</v>
      </c>
    </row>
    <row r="196" spans="2:14" outlineLevel="1" x14ac:dyDescent="0.25">
      <c r="B196">
        <v>4430</v>
      </c>
      <c r="C196" s="51" t="s">
        <v>169</v>
      </c>
      <c r="D196" s="51"/>
      <c r="E196" s="46">
        <v>3717.1809575144498</v>
      </c>
      <c r="F196">
        <v>1</v>
      </c>
      <c r="G196" t="s">
        <v>39</v>
      </c>
      <c r="I196" s="46">
        <v>0</v>
      </c>
      <c r="J196" s="46">
        <v>1850.68095751445</v>
      </c>
      <c r="K196" s="46">
        <v>1866.5</v>
      </c>
      <c r="L196" s="46">
        <v>0</v>
      </c>
      <c r="M196" s="46">
        <v>0</v>
      </c>
      <c r="N196" s="46">
        <v>0</v>
      </c>
    </row>
    <row r="197" spans="2:14" outlineLevel="1" x14ac:dyDescent="0.25">
      <c r="B197">
        <v>5490</v>
      </c>
      <c r="C197" s="51" t="s">
        <v>94</v>
      </c>
      <c r="D197" s="51"/>
      <c r="E197" s="46">
        <v>6325</v>
      </c>
      <c r="F197">
        <v>1</v>
      </c>
      <c r="G197" t="s">
        <v>34</v>
      </c>
      <c r="I197" s="46">
        <v>0</v>
      </c>
      <c r="J197" s="46">
        <v>0</v>
      </c>
      <c r="K197" s="46">
        <v>0</v>
      </c>
      <c r="L197" s="46">
        <v>6325</v>
      </c>
      <c r="M197" s="46">
        <v>0</v>
      </c>
      <c r="N197" s="46">
        <v>0</v>
      </c>
    </row>
    <row r="198" spans="2:14" outlineLevel="1" x14ac:dyDescent="0.25">
      <c r="B198">
        <v>2185</v>
      </c>
      <c r="C198" s="51" t="s">
        <v>51</v>
      </c>
      <c r="D198" s="51"/>
      <c r="E198" s="46">
        <v>4740</v>
      </c>
      <c r="F198">
        <v>12</v>
      </c>
      <c r="G198" t="s">
        <v>43</v>
      </c>
      <c r="I198" s="46">
        <v>0</v>
      </c>
      <c r="J198" s="46">
        <v>0</v>
      </c>
      <c r="K198" s="46">
        <v>0</v>
      </c>
      <c r="L198" s="46">
        <v>4740</v>
      </c>
      <c r="M198" s="46">
        <v>0</v>
      </c>
      <c r="N198" s="46">
        <v>0</v>
      </c>
    </row>
    <row r="199" spans="2:14" outlineLevel="1" x14ac:dyDescent="0.25">
      <c r="B199">
        <v>2149</v>
      </c>
      <c r="C199" s="51" t="s">
        <v>48</v>
      </c>
      <c r="D199" s="51"/>
      <c r="E199" s="46">
        <v>2034.78260869565</v>
      </c>
      <c r="F199">
        <v>12</v>
      </c>
      <c r="G199" t="s">
        <v>43</v>
      </c>
      <c r="I199" s="46">
        <v>0</v>
      </c>
      <c r="J199" s="46">
        <v>0</v>
      </c>
      <c r="K199" s="46">
        <v>0</v>
      </c>
      <c r="L199" s="46">
        <v>0</v>
      </c>
      <c r="M199" s="46">
        <v>0</v>
      </c>
      <c r="N199" s="46">
        <v>2034.78260869565</v>
      </c>
    </row>
    <row r="200" spans="2:14" outlineLevel="1" x14ac:dyDescent="0.25">
      <c r="B200">
        <v>2150</v>
      </c>
      <c r="C200" s="51" t="s">
        <v>38</v>
      </c>
      <c r="D200" s="51"/>
      <c r="E200" s="46">
        <v>667.66304347826099</v>
      </c>
      <c r="F200">
        <v>78.75</v>
      </c>
      <c r="G200" t="s">
        <v>43</v>
      </c>
      <c r="I200" s="46">
        <v>0</v>
      </c>
      <c r="J200" s="46">
        <v>0</v>
      </c>
      <c r="K200" s="46">
        <v>0</v>
      </c>
      <c r="L200" s="46">
        <v>0</v>
      </c>
      <c r="M200" s="46">
        <v>0</v>
      </c>
      <c r="N200" s="46">
        <v>667.66304347826099</v>
      </c>
    </row>
    <row r="201" spans="2:14" outlineLevel="1" x14ac:dyDescent="0.25">
      <c r="B201">
        <v>2490</v>
      </c>
      <c r="C201" s="51" t="s">
        <v>37</v>
      </c>
      <c r="D201" s="51"/>
      <c r="E201" s="46">
        <v>236.25</v>
      </c>
      <c r="F201">
        <v>78.75</v>
      </c>
      <c r="G201" t="s">
        <v>43</v>
      </c>
      <c r="I201" s="46">
        <v>0</v>
      </c>
      <c r="J201" s="46">
        <v>0</v>
      </c>
      <c r="K201" s="46">
        <v>0</v>
      </c>
      <c r="L201" s="46">
        <v>236.25</v>
      </c>
      <c r="M201" s="46">
        <v>0</v>
      </c>
      <c r="N201" s="46">
        <v>0</v>
      </c>
    </row>
    <row r="202" spans="2:14" outlineLevel="1" x14ac:dyDescent="0.25">
      <c r="C202" s="48" t="s">
        <v>182</v>
      </c>
      <c r="D202" s="48"/>
      <c r="E202" s="46">
        <v>17860.886629288801</v>
      </c>
      <c r="F202">
        <v>10</v>
      </c>
      <c r="G202" t="s">
        <v>39</v>
      </c>
      <c r="I202" s="46">
        <v>200</v>
      </c>
      <c r="J202" s="46">
        <v>9525.5001453757195</v>
      </c>
      <c r="K202" s="46">
        <v>3622.5</v>
      </c>
      <c r="L202" s="46">
        <v>4474.7343099999998</v>
      </c>
      <c r="M202" s="46">
        <v>0</v>
      </c>
      <c r="N202" s="46">
        <v>38.152173913043498</v>
      </c>
    </row>
    <row r="203" spans="2:14" outlineLevel="1" x14ac:dyDescent="0.25">
      <c r="B203">
        <v>5110</v>
      </c>
      <c r="C203" s="51" t="s">
        <v>62</v>
      </c>
      <c r="D203" s="51"/>
      <c r="E203" s="46">
        <v>12508.745203352601</v>
      </c>
      <c r="F203">
        <v>10</v>
      </c>
      <c r="G203" t="s">
        <v>39</v>
      </c>
      <c r="I203" s="46">
        <v>0</v>
      </c>
      <c r="J203" s="46">
        <v>6046.8858933525999</v>
      </c>
      <c r="K203" s="46">
        <v>3622.5</v>
      </c>
      <c r="L203" s="46">
        <v>2839.3593099999998</v>
      </c>
      <c r="M203" s="46">
        <v>0</v>
      </c>
      <c r="N203" s="46">
        <v>0</v>
      </c>
    </row>
    <row r="204" spans="2:14" outlineLevel="1" x14ac:dyDescent="0.25">
      <c r="B204">
        <v>2185</v>
      </c>
      <c r="C204" s="51" t="s">
        <v>51</v>
      </c>
      <c r="D204" s="51"/>
      <c r="E204" s="46">
        <v>88.875</v>
      </c>
      <c r="F204">
        <v>4.5</v>
      </c>
      <c r="G204" t="s">
        <v>43</v>
      </c>
      <c r="I204" s="46">
        <v>0</v>
      </c>
      <c r="J204" s="46">
        <v>0</v>
      </c>
      <c r="K204" s="46">
        <v>0</v>
      </c>
      <c r="L204" s="46">
        <v>88.875</v>
      </c>
      <c r="M204" s="46">
        <v>0</v>
      </c>
      <c r="N204" s="46">
        <v>0</v>
      </c>
    </row>
    <row r="205" spans="2:14" outlineLevel="1" x14ac:dyDescent="0.25">
      <c r="B205">
        <v>2149</v>
      </c>
      <c r="C205" s="51" t="s">
        <v>48</v>
      </c>
      <c r="D205" s="51"/>
      <c r="E205" s="46">
        <v>38.152173913043498</v>
      </c>
      <c r="F205">
        <v>4.5</v>
      </c>
      <c r="G205" t="s">
        <v>43</v>
      </c>
      <c r="I205" s="46">
        <v>0</v>
      </c>
      <c r="J205" s="46">
        <v>0</v>
      </c>
      <c r="K205" s="46">
        <v>0</v>
      </c>
      <c r="L205" s="46">
        <v>0</v>
      </c>
      <c r="M205" s="46">
        <v>0</v>
      </c>
      <c r="N205" s="46">
        <v>38.152173913043498</v>
      </c>
    </row>
    <row r="206" spans="2:14" outlineLevel="1" x14ac:dyDescent="0.25">
      <c r="B206">
        <v>5105</v>
      </c>
      <c r="C206" s="51" t="s">
        <v>61</v>
      </c>
      <c r="D206" s="51"/>
      <c r="E206" s="46">
        <v>854.84302080924897</v>
      </c>
      <c r="F206">
        <v>10</v>
      </c>
      <c r="G206" t="s">
        <v>39</v>
      </c>
      <c r="I206" s="46">
        <v>0</v>
      </c>
      <c r="J206" s="46">
        <v>494.84302080924903</v>
      </c>
      <c r="K206" s="46">
        <v>0</v>
      </c>
      <c r="L206" s="46">
        <v>360</v>
      </c>
      <c r="M206" s="46">
        <v>0</v>
      </c>
      <c r="N206" s="46">
        <v>0</v>
      </c>
    </row>
    <row r="207" spans="2:14" outlineLevel="1" x14ac:dyDescent="0.25">
      <c r="B207">
        <v>3295</v>
      </c>
      <c r="C207" s="51" t="s">
        <v>53</v>
      </c>
      <c r="D207" s="51"/>
      <c r="E207" s="46">
        <v>4370.2712312138701</v>
      </c>
      <c r="F207">
        <v>10</v>
      </c>
      <c r="G207" t="s">
        <v>39</v>
      </c>
      <c r="I207" s="46">
        <v>200</v>
      </c>
      <c r="J207" s="46">
        <v>2983.7712312138701</v>
      </c>
      <c r="K207" s="46">
        <v>0</v>
      </c>
      <c r="L207" s="46">
        <v>1186.5</v>
      </c>
      <c r="M207" s="46">
        <v>0</v>
      </c>
      <c r="N207" s="46">
        <v>0</v>
      </c>
    </row>
    <row r="208" spans="2:14" outlineLevel="1" x14ac:dyDescent="0.25">
      <c r="C208" s="48" t="s">
        <v>184</v>
      </c>
      <c r="D208" s="48"/>
      <c r="E208" s="46">
        <v>21746.322643371499</v>
      </c>
      <c r="F208">
        <v>15</v>
      </c>
      <c r="G208" t="s">
        <v>39</v>
      </c>
      <c r="I208" s="46">
        <v>300</v>
      </c>
      <c r="J208" s="46">
        <v>13545.985686849701</v>
      </c>
      <c r="K208" s="46">
        <v>5433.75</v>
      </c>
      <c r="L208" s="46">
        <v>2403</v>
      </c>
      <c r="M208" s="46">
        <v>0</v>
      </c>
      <c r="N208" s="46">
        <v>63.586956521739097</v>
      </c>
    </row>
    <row r="209" spans="2:14" outlineLevel="1" x14ac:dyDescent="0.25">
      <c r="B209">
        <v>5110</v>
      </c>
      <c r="C209" s="51" t="s">
        <v>62</v>
      </c>
      <c r="D209" s="51"/>
      <c r="E209" s="46">
        <v>13761.814308814999</v>
      </c>
      <c r="F209">
        <v>15</v>
      </c>
      <c r="G209" t="s">
        <v>39</v>
      </c>
      <c r="I209" s="46">
        <v>0</v>
      </c>
      <c r="J209" s="46">
        <v>8328.06430881503</v>
      </c>
      <c r="K209" s="46">
        <v>5433.75</v>
      </c>
      <c r="L209" s="46">
        <v>0</v>
      </c>
      <c r="M209" s="46">
        <v>0</v>
      </c>
      <c r="N209" s="46">
        <v>0</v>
      </c>
    </row>
    <row r="210" spans="2:14" outlineLevel="1" x14ac:dyDescent="0.25">
      <c r="B210">
        <v>2183</v>
      </c>
      <c r="C210" s="51" t="s">
        <v>80</v>
      </c>
      <c r="D210" s="51"/>
      <c r="E210" s="46">
        <v>83.25</v>
      </c>
      <c r="F210">
        <v>7.5</v>
      </c>
      <c r="G210" t="s">
        <v>43</v>
      </c>
      <c r="I210" s="46">
        <v>0</v>
      </c>
      <c r="J210" s="46">
        <v>0</v>
      </c>
      <c r="K210" s="46">
        <v>0</v>
      </c>
      <c r="L210" s="46">
        <v>83.25</v>
      </c>
      <c r="M210" s="46">
        <v>0</v>
      </c>
      <c r="N210" s="46">
        <v>0</v>
      </c>
    </row>
    <row r="211" spans="2:14" outlineLevel="1" x14ac:dyDescent="0.25">
      <c r="B211">
        <v>2149</v>
      </c>
      <c r="C211" s="51" t="s">
        <v>48</v>
      </c>
      <c r="D211" s="51"/>
      <c r="E211" s="46">
        <v>63.586956521739097</v>
      </c>
      <c r="F211">
        <v>7.5</v>
      </c>
      <c r="G211" t="s">
        <v>43</v>
      </c>
      <c r="I211" s="46">
        <v>0</v>
      </c>
      <c r="J211" s="46">
        <v>0</v>
      </c>
      <c r="K211" s="46">
        <v>0</v>
      </c>
      <c r="L211" s="46">
        <v>0</v>
      </c>
      <c r="M211" s="46">
        <v>0</v>
      </c>
      <c r="N211" s="46">
        <v>63.586956521739097</v>
      </c>
    </row>
    <row r="212" spans="2:14" outlineLevel="1" x14ac:dyDescent="0.25">
      <c r="B212">
        <v>5105</v>
      </c>
      <c r="C212" s="51" t="s">
        <v>61</v>
      </c>
      <c r="D212" s="51"/>
      <c r="E212" s="46">
        <v>1282.26453121387</v>
      </c>
      <c r="F212">
        <v>15</v>
      </c>
      <c r="G212" t="s">
        <v>39</v>
      </c>
      <c r="I212" s="46">
        <v>0</v>
      </c>
      <c r="J212" s="46">
        <v>742.26453121387306</v>
      </c>
      <c r="K212" s="46">
        <v>0</v>
      </c>
      <c r="L212" s="46">
        <v>540</v>
      </c>
      <c r="M212" s="46">
        <v>0</v>
      </c>
      <c r="N212" s="46">
        <v>0</v>
      </c>
    </row>
    <row r="213" spans="2:14" outlineLevel="1" x14ac:dyDescent="0.25">
      <c r="B213">
        <v>3295</v>
      </c>
      <c r="C213" s="51" t="s">
        <v>53</v>
      </c>
      <c r="D213" s="51"/>
      <c r="E213" s="46">
        <v>6555.4068468208097</v>
      </c>
      <c r="F213">
        <v>15</v>
      </c>
      <c r="G213" t="s">
        <v>39</v>
      </c>
      <c r="I213" s="46">
        <v>300</v>
      </c>
      <c r="J213" s="46">
        <v>4475.6568468208097</v>
      </c>
      <c r="K213" s="46">
        <v>0</v>
      </c>
      <c r="L213" s="46">
        <v>1779.75</v>
      </c>
      <c r="M213" s="46">
        <v>0</v>
      </c>
      <c r="N213" s="46">
        <v>0</v>
      </c>
    </row>
    <row r="214" spans="2:14" outlineLevel="1" x14ac:dyDescent="0.25">
      <c r="C214" s="48" t="s">
        <v>185</v>
      </c>
      <c r="D214" s="48"/>
      <c r="E214" s="46">
        <v>5876.2374861010303</v>
      </c>
      <c r="F214">
        <v>4</v>
      </c>
      <c r="G214" t="s">
        <v>39</v>
      </c>
      <c r="I214" s="46">
        <v>80</v>
      </c>
      <c r="J214" s="46">
        <v>3069.92767514451</v>
      </c>
      <c r="K214" s="46">
        <v>966</v>
      </c>
      <c r="L214" s="46">
        <v>1758.7837239999999</v>
      </c>
      <c r="M214" s="46">
        <v>0</v>
      </c>
      <c r="N214" s="46">
        <v>1.5260869565217401</v>
      </c>
    </row>
    <row r="215" spans="2:14" outlineLevel="1" x14ac:dyDescent="0.25">
      <c r="B215">
        <v>5110</v>
      </c>
      <c r="C215" s="51" t="s">
        <v>62</v>
      </c>
      <c r="D215" s="51"/>
      <c r="E215" s="46">
        <v>3780.2256983352599</v>
      </c>
      <c r="F215">
        <v>4</v>
      </c>
      <c r="G215" t="s">
        <v>39</v>
      </c>
      <c r="I215" s="46">
        <v>0</v>
      </c>
      <c r="J215" s="46">
        <v>1678.48197433526</v>
      </c>
      <c r="K215" s="46">
        <v>966</v>
      </c>
      <c r="L215" s="46">
        <v>1135.7437239999999</v>
      </c>
      <c r="M215" s="46">
        <v>0</v>
      </c>
      <c r="N215" s="46">
        <v>0</v>
      </c>
    </row>
    <row r="216" spans="2:14" outlineLevel="1" x14ac:dyDescent="0.25">
      <c r="B216">
        <v>2183</v>
      </c>
      <c r="C216" s="51" t="s">
        <v>80</v>
      </c>
      <c r="D216" s="51"/>
      <c r="E216" s="46">
        <v>4.4400000000000004</v>
      </c>
      <c r="F216">
        <v>0.4</v>
      </c>
      <c r="G216" t="s">
        <v>43</v>
      </c>
      <c r="I216" s="46">
        <v>0</v>
      </c>
      <c r="J216" s="46">
        <v>0</v>
      </c>
      <c r="K216" s="46">
        <v>0</v>
      </c>
      <c r="L216" s="46">
        <v>4.4400000000000004</v>
      </c>
      <c r="M216" s="46">
        <v>0</v>
      </c>
      <c r="N216" s="46">
        <v>0</v>
      </c>
    </row>
    <row r="217" spans="2:14" outlineLevel="1" x14ac:dyDescent="0.25">
      <c r="B217">
        <v>2149</v>
      </c>
      <c r="C217" s="51" t="s">
        <v>48</v>
      </c>
      <c r="D217" s="51"/>
      <c r="E217" s="46">
        <v>1.5260869565217401</v>
      </c>
      <c r="F217">
        <v>0.4</v>
      </c>
      <c r="G217" t="s">
        <v>43</v>
      </c>
      <c r="I217" s="46">
        <v>0</v>
      </c>
      <c r="J217" s="46">
        <v>0</v>
      </c>
      <c r="K217" s="46">
        <v>0</v>
      </c>
      <c r="L217" s="46">
        <v>0</v>
      </c>
      <c r="M217" s="46">
        <v>0</v>
      </c>
      <c r="N217" s="46">
        <v>1.5260869565217401</v>
      </c>
    </row>
    <row r="218" spans="2:14" outlineLevel="1" x14ac:dyDescent="0.25">
      <c r="B218">
        <v>5105</v>
      </c>
      <c r="C218" s="51" t="s">
        <v>61</v>
      </c>
      <c r="D218" s="51"/>
      <c r="E218" s="46">
        <v>341.937208323699</v>
      </c>
      <c r="F218">
        <v>4</v>
      </c>
      <c r="G218" t="s">
        <v>39</v>
      </c>
      <c r="I218" s="46">
        <v>0</v>
      </c>
      <c r="J218" s="46">
        <v>197.937208323699</v>
      </c>
      <c r="K218" s="46">
        <v>0</v>
      </c>
      <c r="L218" s="46">
        <v>144</v>
      </c>
      <c r="M218" s="46">
        <v>0</v>
      </c>
      <c r="N218" s="46">
        <v>0</v>
      </c>
    </row>
    <row r="219" spans="2:14" outlineLevel="1" x14ac:dyDescent="0.25">
      <c r="B219">
        <v>3295</v>
      </c>
      <c r="C219" s="51" t="s">
        <v>53</v>
      </c>
      <c r="D219" s="51"/>
      <c r="E219" s="46">
        <v>1748.10849248555</v>
      </c>
      <c r="F219">
        <v>4</v>
      </c>
      <c r="G219" t="s">
        <v>39</v>
      </c>
      <c r="I219" s="46">
        <v>80</v>
      </c>
      <c r="J219" s="46">
        <v>1193.5084924855501</v>
      </c>
      <c r="K219" s="46">
        <v>0</v>
      </c>
      <c r="L219" s="46">
        <v>474.6</v>
      </c>
      <c r="M219" s="46">
        <v>0</v>
      </c>
      <c r="N219" s="46">
        <v>0</v>
      </c>
    </row>
    <row r="220" spans="2:14" outlineLevel="1" x14ac:dyDescent="0.25">
      <c r="C220" s="48" t="s">
        <v>186</v>
      </c>
      <c r="D220" s="48"/>
      <c r="E220" s="46">
        <v>3721.3198788565001</v>
      </c>
      <c r="F220">
        <v>4</v>
      </c>
      <c r="G220" t="s">
        <v>39</v>
      </c>
      <c r="I220" s="46">
        <v>0</v>
      </c>
      <c r="J220" s="46">
        <v>1110.40857450867</v>
      </c>
      <c r="K220" s="46">
        <v>724.5</v>
      </c>
      <c r="L220" s="46">
        <v>283.02</v>
      </c>
      <c r="M220" s="46">
        <v>1600</v>
      </c>
      <c r="N220" s="46">
        <v>3.39130434782609</v>
      </c>
    </row>
    <row r="221" spans="2:14" outlineLevel="1" x14ac:dyDescent="0.25">
      <c r="B221">
        <v>5410</v>
      </c>
      <c r="C221" s="51" t="s">
        <v>183</v>
      </c>
      <c r="D221" s="51"/>
      <c r="E221" s="46">
        <v>1834.90857450867</v>
      </c>
      <c r="F221">
        <v>4</v>
      </c>
      <c r="G221" t="s">
        <v>39</v>
      </c>
      <c r="I221" s="46">
        <v>0</v>
      </c>
      <c r="J221" s="46">
        <v>1110.40857450867</v>
      </c>
      <c r="K221" s="46">
        <v>724.5</v>
      </c>
      <c r="L221" s="46">
        <v>0</v>
      </c>
      <c r="M221" s="46">
        <v>0</v>
      </c>
      <c r="N221" s="46">
        <v>0</v>
      </c>
    </row>
    <row r="222" spans="2:14" outlineLevel="1" x14ac:dyDescent="0.25">
      <c r="B222">
        <v>2185</v>
      </c>
      <c r="C222" s="51" t="s">
        <v>51</v>
      </c>
      <c r="D222" s="51"/>
      <c r="E222" s="46">
        <v>7.9</v>
      </c>
      <c r="F222">
        <v>0.4</v>
      </c>
      <c r="G222" t="s">
        <v>43</v>
      </c>
      <c r="I222" s="46">
        <v>0</v>
      </c>
      <c r="J222" s="46">
        <v>0</v>
      </c>
      <c r="K222" s="46">
        <v>0</v>
      </c>
      <c r="L222" s="46">
        <v>7.9</v>
      </c>
      <c r="M222" s="46">
        <v>0</v>
      </c>
      <c r="N222" s="46">
        <v>0</v>
      </c>
    </row>
    <row r="223" spans="2:14" outlineLevel="1" x14ac:dyDescent="0.25">
      <c r="B223">
        <v>2149</v>
      </c>
      <c r="C223" s="51" t="s">
        <v>48</v>
      </c>
      <c r="D223" s="51"/>
      <c r="E223" s="46">
        <v>3.39130434782609</v>
      </c>
      <c r="F223">
        <v>0.4</v>
      </c>
      <c r="G223" t="s">
        <v>43</v>
      </c>
      <c r="I223" s="46">
        <v>0</v>
      </c>
      <c r="J223" s="46">
        <v>0</v>
      </c>
      <c r="K223" s="46">
        <v>0</v>
      </c>
      <c r="L223" s="46">
        <v>0</v>
      </c>
      <c r="M223" s="46">
        <v>0</v>
      </c>
      <c r="N223" s="46">
        <v>3.39130434782609</v>
      </c>
    </row>
    <row r="224" spans="2:14" outlineLevel="1" x14ac:dyDescent="0.25">
      <c r="B224">
        <v>6480</v>
      </c>
      <c r="C224" s="51" t="s">
        <v>96</v>
      </c>
      <c r="D224" s="51"/>
      <c r="E224" s="46">
        <v>275.12</v>
      </c>
      <c r="F224">
        <v>1</v>
      </c>
      <c r="G224" t="s">
        <v>34</v>
      </c>
      <c r="I224" s="46">
        <v>0</v>
      </c>
      <c r="J224" s="46">
        <v>0</v>
      </c>
      <c r="K224" s="46">
        <v>0</v>
      </c>
      <c r="L224" s="46">
        <v>275.12</v>
      </c>
      <c r="M224" s="46">
        <v>0</v>
      </c>
      <c r="N224" s="46">
        <v>0</v>
      </c>
    </row>
    <row r="225" spans="2:14" outlineLevel="1" x14ac:dyDescent="0.25">
      <c r="B225">
        <v>3290</v>
      </c>
      <c r="C225" s="51" t="s">
        <v>52</v>
      </c>
      <c r="D225" s="51"/>
      <c r="E225" s="46">
        <v>1600</v>
      </c>
      <c r="F225">
        <v>4</v>
      </c>
      <c r="G225" t="s">
        <v>39</v>
      </c>
      <c r="I225" s="46">
        <v>0</v>
      </c>
      <c r="J225" s="46">
        <v>0</v>
      </c>
      <c r="K225" s="46">
        <v>0</v>
      </c>
      <c r="L225" s="46">
        <v>0</v>
      </c>
      <c r="M225" s="46">
        <v>1600</v>
      </c>
      <c r="N225" s="46">
        <v>0</v>
      </c>
    </row>
    <row r="226" spans="2:14" outlineLevel="1" x14ac:dyDescent="0.25">
      <c r="C226" s="48" t="s">
        <v>187</v>
      </c>
      <c r="D226" s="48"/>
      <c r="E226" s="46">
        <v>5294.8837147310896</v>
      </c>
      <c r="F226">
        <v>34</v>
      </c>
      <c r="G226" t="s">
        <v>39</v>
      </c>
      <c r="I226" s="46">
        <v>0</v>
      </c>
      <c r="J226" s="46">
        <v>3146.1576277745698</v>
      </c>
      <c r="K226" s="46">
        <v>2052.75</v>
      </c>
      <c r="L226" s="46">
        <v>67.150000000000006</v>
      </c>
      <c r="M226" s="46">
        <v>0</v>
      </c>
      <c r="N226" s="46">
        <v>28.826086956521699</v>
      </c>
    </row>
    <row r="227" spans="2:14" outlineLevel="1" x14ac:dyDescent="0.25">
      <c r="B227">
        <v>5410</v>
      </c>
      <c r="C227" s="51" t="s">
        <v>183</v>
      </c>
      <c r="D227" s="51"/>
      <c r="E227" s="46">
        <v>5198.9076277745698</v>
      </c>
      <c r="F227">
        <v>34</v>
      </c>
      <c r="G227" t="s">
        <v>39</v>
      </c>
      <c r="I227" s="46">
        <v>0</v>
      </c>
      <c r="J227" s="46">
        <v>3146.1576277745698</v>
      </c>
      <c r="K227" s="46">
        <v>2052.75</v>
      </c>
      <c r="L227" s="46">
        <v>0</v>
      </c>
      <c r="M227" s="46">
        <v>0</v>
      </c>
      <c r="N227" s="46">
        <v>0</v>
      </c>
    </row>
    <row r="228" spans="2:14" outlineLevel="1" x14ac:dyDescent="0.25">
      <c r="B228">
        <v>2185</v>
      </c>
      <c r="C228" s="51" t="s">
        <v>51</v>
      </c>
      <c r="D228" s="51"/>
      <c r="E228" s="46">
        <v>67.150000000000006</v>
      </c>
      <c r="F228">
        <v>3.4</v>
      </c>
      <c r="G228" t="s">
        <v>43</v>
      </c>
      <c r="I228" s="46">
        <v>0</v>
      </c>
      <c r="J228" s="46">
        <v>0</v>
      </c>
      <c r="K228" s="46">
        <v>0</v>
      </c>
      <c r="L228" s="46">
        <v>67.150000000000006</v>
      </c>
      <c r="M228" s="46">
        <v>0</v>
      </c>
      <c r="N228" s="46">
        <v>0</v>
      </c>
    </row>
    <row r="229" spans="2:14" outlineLevel="1" x14ac:dyDescent="0.25">
      <c r="B229">
        <v>2149</v>
      </c>
      <c r="C229" s="51" t="s">
        <v>48</v>
      </c>
      <c r="D229" s="51"/>
      <c r="E229" s="46">
        <v>28.826086956521699</v>
      </c>
      <c r="F229">
        <v>3.4</v>
      </c>
      <c r="G229" t="s">
        <v>43</v>
      </c>
      <c r="I229" s="46">
        <v>0</v>
      </c>
      <c r="J229" s="46">
        <v>0</v>
      </c>
      <c r="K229" s="46">
        <v>0</v>
      </c>
      <c r="L229" s="46">
        <v>0</v>
      </c>
      <c r="M229" s="46">
        <v>0</v>
      </c>
      <c r="N229" s="46">
        <v>28.826086956521699</v>
      </c>
    </row>
    <row r="230" spans="2:14" outlineLevel="1" x14ac:dyDescent="0.25">
      <c r="C230" s="47" t="s">
        <v>188</v>
      </c>
      <c r="D230" s="47"/>
      <c r="E230" s="46">
        <v>105902.438541717</v>
      </c>
      <c r="F230">
        <v>1</v>
      </c>
      <c r="G230" t="s">
        <v>34</v>
      </c>
      <c r="I230" s="46">
        <v>0</v>
      </c>
      <c r="J230" s="46">
        <v>33681.010933695201</v>
      </c>
      <c r="K230" s="46">
        <v>21810.4820833333</v>
      </c>
      <c r="L230" s="46">
        <v>21348.2760912462</v>
      </c>
      <c r="M230" s="46">
        <v>3200</v>
      </c>
      <c r="N230" s="46">
        <v>25862.669433442199</v>
      </c>
    </row>
    <row r="231" spans="2:14" outlineLevel="1" x14ac:dyDescent="0.25">
      <c r="C231" s="48" t="s">
        <v>189</v>
      </c>
      <c r="D231" s="48"/>
      <c r="E231" s="46">
        <v>3936.54069872832</v>
      </c>
      <c r="F231">
        <v>2</v>
      </c>
      <c r="G231" t="s">
        <v>39</v>
      </c>
      <c r="I231" s="46">
        <v>0</v>
      </c>
      <c r="J231" s="46">
        <v>2169.3406987283201</v>
      </c>
      <c r="K231" s="46">
        <v>1767.2</v>
      </c>
      <c r="L231" s="46">
        <v>0</v>
      </c>
      <c r="M231" s="46">
        <v>0</v>
      </c>
      <c r="N231" s="46">
        <v>0</v>
      </c>
    </row>
    <row r="232" spans="2:14" outlineLevel="1" x14ac:dyDescent="0.25">
      <c r="B232">
        <v>6460</v>
      </c>
      <c r="C232" s="51" t="s">
        <v>68</v>
      </c>
      <c r="D232" s="51"/>
      <c r="E232" s="46">
        <v>3936.54069872832</v>
      </c>
      <c r="F232">
        <v>2</v>
      </c>
      <c r="G232" t="s">
        <v>39</v>
      </c>
      <c r="I232" s="46">
        <v>0</v>
      </c>
      <c r="J232" s="46">
        <v>2169.3406987283201</v>
      </c>
      <c r="K232" s="46">
        <v>1767.2</v>
      </c>
      <c r="L232" s="46">
        <v>0</v>
      </c>
      <c r="M232" s="46">
        <v>0</v>
      </c>
      <c r="N232" s="46">
        <v>0</v>
      </c>
    </row>
    <row r="233" spans="2:14" outlineLevel="1" x14ac:dyDescent="0.25">
      <c r="C233" s="48" t="s">
        <v>190</v>
      </c>
      <c r="D233" s="48"/>
      <c r="E233" s="46">
        <v>2768.2703493641602</v>
      </c>
      <c r="F233">
        <v>2</v>
      </c>
      <c r="G233" t="s">
        <v>39</v>
      </c>
      <c r="I233" s="46">
        <v>0</v>
      </c>
      <c r="J233" s="46">
        <v>1084.6703493641601</v>
      </c>
      <c r="K233" s="46">
        <v>883.6</v>
      </c>
      <c r="L233" s="46">
        <v>0</v>
      </c>
      <c r="M233" s="46">
        <v>800</v>
      </c>
      <c r="N233" s="46">
        <v>0</v>
      </c>
    </row>
    <row r="234" spans="2:14" outlineLevel="1" x14ac:dyDescent="0.25">
      <c r="B234">
        <v>6460</v>
      </c>
      <c r="C234" s="51" t="s">
        <v>68</v>
      </c>
      <c r="D234" s="51"/>
      <c r="E234" s="46">
        <v>1968.27034936416</v>
      </c>
      <c r="F234">
        <v>2</v>
      </c>
      <c r="G234" t="s">
        <v>39</v>
      </c>
      <c r="I234" s="46">
        <v>0</v>
      </c>
      <c r="J234" s="46">
        <v>1084.6703493641601</v>
      </c>
      <c r="K234" s="46">
        <v>883.6</v>
      </c>
      <c r="L234" s="46">
        <v>0</v>
      </c>
      <c r="M234" s="46">
        <v>0</v>
      </c>
      <c r="N234" s="46">
        <v>0</v>
      </c>
    </row>
    <row r="235" spans="2:14" outlineLevel="1" x14ac:dyDescent="0.25">
      <c r="B235">
        <v>6450</v>
      </c>
      <c r="C235" s="51" t="s">
        <v>191</v>
      </c>
      <c r="D235" s="51"/>
      <c r="E235" s="46">
        <v>800</v>
      </c>
      <c r="F235">
        <v>2</v>
      </c>
      <c r="G235" t="s">
        <v>39</v>
      </c>
      <c r="I235" s="46">
        <v>0</v>
      </c>
      <c r="J235" s="46">
        <v>0</v>
      </c>
      <c r="K235" s="46">
        <v>0</v>
      </c>
      <c r="L235" s="46">
        <v>0</v>
      </c>
      <c r="M235" s="46">
        <v>800</v>
      </c>
      <c r="N235" s="46">
        <v>0</v>
      </c>
    </row>
    <row r="236" spans="2:14" outlineLevel="1" x14ac:dyDescent="0.25">
      <c r="C236" s="48" t="s">
        <v>192</v>
      </c>
      <c r="D236" s="48"/>
      <c r="E236" s="46">
        <v>8174.7222951976601</v>
      </c>
      <c r="F236">
        <v>434</v>
      </c>
      <c r="G236" t="s">
        <v>40</v>
      </c>
      <c r="I236" s="46">
        <v>0</v>
      </c>
      <c r="J236" s="46">
        <v>4015.9776778063601</v>
      </c>
      <c r="K236" s="46">
        <v>1231.4749999999999</v>
      </c>
      <c r="L236" s="46">
        <v>1507.3253999999999</v>
      </c>
      <c r="M236" s="46">
        <v>0</v>
      </c>
      <c r="N236" s="46">
        <v>1419.9442173913001</v>
      </c>
    </row>
    <row r="237" spans="2:14" outlineLevel="1" x14ac:dyDescent="0.25">
      <c r="B237">
        <v>6001</v>
      </c>
      <c r="C237" s="51" t="s">
        <v>101</v>
      </c>
      <c r="D237" s="51"/>
      <c r="E237" s="46">
        <v>5247.45267780636</v>
      </c>
      <c r="F237">
        <v>434</v>
      </c>
      <c r="G237" t="s">
        <v>40</v>
      </c>
      <c r="I237" s="46">
        <v>0</v>
      </c>
      <c r="J237" s="46">
        <v>4015.9776778063601</v>
      </c>
      <c r="K237" s="46">
        <v>1231.4749999999999</v>
      </c>
      <c r="L237" s="46">
        <v>0</v>
      </c>
      <c r="M237" s="46">
        <v>0</v>
      </c>
      <c r="N237" s="46">
        <v>0</v>
      </c>
    </row>
    <row r="238" spans="2:14" outlineLevel="1" x14ac:dyDescent="0.25">
      <c r="B238">
        <v>2180</v>
      </c>
      <c r="C238" s="51" t="s">
        <v>50</v>
      </c>
      <c r="D238" s="51"/>
      <c r="E238" s="46">
        <v>1507.3253999999999</v>
      </c>
      <c r="F238">
        <v>167.48060000000001</v>
      </c>
      <c r="G238" t="s">
        <v>43</v>
      </c>
      <c r="I238" s="46">
        <v>0</v>
      </c>
      <c r="J238" s="46">
        <v>0</v>
      </c>
      <c r="K238" s="46">
        <v>0</v>
      </c>
      <c r="L238" s="46">
        <v>1507.3253999999999</v>
      </c>
      <c r="M238" s="46">
        <v>0</v>
      </c>
      <c r="N238" s="46">
        <v>0</v>
      </c>
    </row>
    <row r="239" spans="2:14" outlineLevel="1" x14ac:dyDescent="0.25">
      <c r="B239">
        <v>2149</v>
      </c>
      <c r="C239" s="51" t="s">
        <v>48</v>
      </c>
      <c r="D239" s="51"/>
      <c r="E239" s="46">
        <v>1419.9442173913001</v>
      </c>
      <c r="F239">
        <v>167.48060000000001</v>
      </c>
      <c r="G239" t="s">
        <v>43</v>
      </c>
      <c r="I239" s="46">
        <v>0</v>
      </c>
      <c r="J239" s="46">
        <v>0</v>
      </c>
      <c r="K239" s="46">
        <v>0</v>
      </c>
      <c r="L239" s="46">
        <v>0</v>
      </c>
      <c r="M239" s="46">
        <v>0</v>
      </c>
      <c r="N239" s="46">
        <v>1419.9442173913001</v>
      </c>
    </row>
    <row r="240" spans="2:14" outlineLevel="1" x14ac:dyDescent="0.25">
      <c r="C240" s="50" t="s">
        <v>193</v>
      </c>
      <c r="D240" s="50"/>
      <c r="E240" s="46">
        <v>1336.84873157421</v>
      </c>
      <c r="F240">
        <v>30</v>
      </c>
      <c r="G240" t="s">
        <v>40</v>
      </c>
      <c r="I240" s="46">
        <v>0</v>
      </c>
      <c r="J240" s="46">
        <v>491.75778619761599</v>
      </c>
      <c r="K240" s="46">
        <v>363.3125</v>
      </c>
      <c r="L240" s="46">
        <v>204.67015235377301</v>
      </c>
      <c r="M240" s="46">
        <v>0</v>
      </c>
      <c r="N240" s="46">
        <v>277.10829302282599</v>
      </c>
    </row>
    <row r="241" spans="2:14" outlineLevel="1" x14ac:dyDescent="0.25">
      <c r="B241">
        <v>6004</v>
      </c>
      <c r="C241" s="52" t="s">
        <v>64</v>
      </c>
      <c r="D241" s="52"/>
      <c r="E241" s="46">
        <v>832.30479566474003</v>
      </c>
      <c r="F241">
        <v>30</v>
      </c>
      <c r="G241" t="s">
        <v>40</v>
      </c>
      <c r="I241" s="46">
        <v>0</v>
      </c>
      <c r="J241" s="46">
        <v>469.10479566473998</v>
      </c>
      <c r="K241" s="46">
        <v>363.2</v>
      </c>
      <c r="L241" s="46">
        <v>0</v>
      </c>
      <c r="M241" s="46">
        <v>0</v>
      </c>
      <c r="N241" s="46">
        <v>0</v>
      </c>
    </row>
    <row r="242" spans="2:14" outlineLevel="1" x14ac:dyDescent="0.25">
      <c r="B242">
        <v>2180</v>
      </c>
      <c r="C242" s="51" t="s">
        <v>50</v>
      </c>
      <c r="D242" s="51"/>
      <c r="E242" s="46">
        <v>105.3</v>
      </c>
      <c r="F242">
        <v>11.7</v>
      </c>
      <c r="G242" t="s">
        <v>43</v>
      </c>
      <c r="H242" s="46"/>
      <c r="I242" s="46">
        <v>0</v>
      </c>
      <c r="J242" s="46">
        <v>0</v>
      </c>
      <c r="K242" s="46">
        <v>0</v>
      </c>
      <c r="L242" s="46">
        <v>105.3</v>
      </c>
      <c r="M242" s="46">
        <v>0</v>
      </c>
      <c r="N242" s="46">
        <v>0</v>
      </c>
    </row>
    <row r="243" spans="2:14" outlineLevel="1" x14ac:dyDescent="0.25">
      <c r="B243">
        <v>2149</v>
      </c>
      <c r="C243" s="51" t="s">
        <v>48</v>
      </c>
      <c r="D243" s="51"/>
      <c r="E243" s="46">
        <v>99.195652173913004</v>
      </c>
      <c r="F243">
        <v>11.7</v>
      </c>
      <c r="G243" t="s">
        <v>43</v>
      </c>
      <c r="I243" s="46">
        <v>0</v>
      </c>
      <c r="J243" s="46">
        <v>0</v>
      </c>
      <c r="K243" s="46">
        <v>0</v>
      </c>
      <c r="L243" s="46">
        <v>0</v>
      </c>
      <c r="M243" s="46">
        <v>0</v>
      </c>
      <c r="N243" s="46">
        <v>99.195652173913004</v>
      </c>
    </row>
    <row r="244" spans="2:14" outlineLevel="1" x14ac:dyDescent="0.25">
      <c r="B244">
        <v>6490</v>
      </c>
      <c r="C244" s="51" t="s">
        <v>69</v>
      </c>
      <c r="D244" s="51"/>
      <c r="E244" s="46">
        <v>22.980586887368801</v>
      </c>
      <c r="F244">
        <v>30</v>
      </c>
      <c r="G244" t="s">
        <v>40</v>
      </c>
      <c r="I244" s="46">
        <v>0</v>
      </c>
      <c r="J244" s="46">
        <v>22.652990532875702</v>
      </c>
      <c r="K244" s="46">
        <v>0.1125</v>
      </c>
      <c r="L244" s="46">
        <v>0.21509635449306999</v>
      </c>
      <c r="M244" s="46">
        <v>0</v>
      </c>
      <c r="N244" s="46">
        <v>0</v>
      </c>
    </row>
    <row r="245" spans="2:14" outlineLevel="1" x14ac:dyDescent="0.25">
      <c r="B245">
        <v>2172</v>
      </c>
      <c r="C245" s="51" t="s">
        <v>133</v>
      </c>
      <c r="D245" s="51"/>
      <c r="E245" s="46">
        <v>55.20135230428</v>
      </c>
      <c r="F245">
        <v>6.3333333299999897</v>
      </c>
      <c r="G245" t="s">
        <v>43</v>
      </c>
      <c r="I245" s="46">
        <v>0</v>
      </c>
      <c r="J245" s="46">
        <v>0</v>
      </c>
      <c r="K245" s="46">
        <v>0</v>
      </c>
      <c r="L245" s="46">
        <v>55.20135230428</v>
      </c>
      <c r="M245" s="46">
        <v>0</v>
      </c>
      <c r="N245" s="46">
        <v>0</v>
      </c>
    </row>
    <row r="246" spans="2:14" outlineLevel="1" x14ac:dyDescent="0.25">
      <c r="B246">
        <v>2149</v>
      </c>
      <c r="C246" s="51" t="s">
        <v>48</v>
      </c>
      <c r="D246" s="51"/>
      <c r="E246" s="46">
        <v>53.695652145652197</v>
      </c>
      <c r="F246">
        <v>6.3333333299999897</v>
      </c>
      <c r="G246" t="s">
        <v>43</v>
      </c>
      <c r="I246" s="46">
        <v>0</v>
      </c>
      <c r="J246" s="46">
        <v>0</v>
      </c>
      <c r="K246" s="46">
        <v>0</v>
      </c>
      <c r="L246" s="46">
        <v>0</v>
      </c>
      <c r="M246" s="46">
        <v>0</v>
      </c>
      <c r="N246" s="46">
        <v>53.695652145652197</v>
      </c>
    </row>
    <row r="247" spans="2:14" outlineLevel="1" x14ac:dyDescent="0.25">
      <c r="B247">
        <v>2150</v>
      </c>
      <c r="C247" s="51" t="s">
        <v>38</v>
      </c>
      <c r="D247" s="51"/>
      <c r="E247" s="46">
        <v>124.22</v>
      </c>
      <c r="F247">
        <v>14.65123456499998</v>
      </c>
      <c r="G247" t="s">
        <v>43</v>
      </c>
      <c r="I247" s="46">
        <v>0</v>
      </c>
      <c r="J247" s="46">
        <v>0</v>
      </c>
      <c r="K247" s="46">
        <v>0</v>
      </c>
      <c r="L247" s="46">
        <v>0</v>
      </c>
      <c r="M247" s="46">
        <v>0</v>
      </c>
      <c r="N247" s="46">
        <v>124.22</v>
      </c>
    </row>
    <row r="248" spans="2:14" outlineLevel="1" x14ac:dyDescent="0.25">
      <c r="B248">
        <v>2490</v>
      </c>
      <c r="C248" s="51" t="s">
        <v>37</v>
      </c>
      <c r="D248" s="51"/>
      <c r="E248" s="46">
        <v>43.95</v>
      </c>
      <c r="F248">
        <v>14.65123456499998</v>
      </c>
      <c r="G248" t="s">
        <v>43</v>
      </c>
      <c r="I248" s="46">
        <v>0</v>
      </c>
      <c r="J248" s="46">
        <v>0</v>
      </c>
      <c r="K248" s="46">
        <v>0</v>
      </c>
      <c r="L248" s="46">
        <v>43.95</v>
      </c>
      <c r="M248" s="46">
        <v>0</v>
      </c>
      <c r="N248" s="46">
        <v>0</v>
      </c>
    </row>
    <row r="249" spans="2:14" outlineLevel="1" x14ac:dyDescent="0.25">
      <c r="C249" s="48" t="s">
        <v>194</v>
      </c>
      <c r="D249" s="48"/>
      <c r="E249" s="46">
        <v>3999.1660865981898</v>
      </c>
      <c r="F249">
        <v>77</v>
      </c>
      <c r="G249" t="s">
        <v>40</v>
      </c>
      <c r="I249" s="46">
        <v>0</v>
      </c>
      <c r="J249" s="46">
        <v>1262.1783179072099</v>
      </c>
      <c r="K249" s="46">
        <v>932.50208333333296</v>
      </c>
      <c r="L249" s="46">
        <v>757.66696605258505</v>
      </c>
      <c r="M249" s="46">
        <v>0</v>
      </c>
      <c r="N249" s="46">
        <v>1046.8187193050501</v>
      </c>
    </row>
    <row r="250" spans="2:14" outlineLevel="1" x14ac:dyDescent="0.25">
      <c r="B250">
        <v>6006</v>
      </c>
      <c r="C250" s="51" t="s">
        <v>65</v>
      </c>
      <c r="D250" s="51"/>
      <c r="E250" s="46">
        <v>2136.2489755395</v>
      </c>
      <c r="F250">
        <v>77</v>
      </c>
      <c r="G250" t="s">
        <v>40</v>
      </c>
      <c r="I250" s="46">
        <v>0</v>
      </c>
      <c r="J250" s="46">
        <v>1204.03564220617</v>
      </c>
      <c r="K250" s="46">
        <v>932.21333333333303</v>
      </c>
      <c r="L250" s="46">
        <v>0</v>
      </c>
      <c r="M250" s="46">
        <v>0</v>
      </c>
      <c r="N250" s="46">
        <v>0</v>
      </c>
    </row>
    <row r="251" spans="2:14" outlineLevel="1" x14ac:dyDescent="0.25">
      <c r="B251">
        <v>2180</v>
      </c>
      <c r="C251" s="51" t="s">
        <v>50</v>
      </c>
      <c r="D251" s="51"/>
      <c r="E251" s="46">
        <v>301.45499999999998</v>
      </c>
      <c r="F251">
        <v>33.494999999999997</v>
      </c>
      <c r="G251" t="s">
        <v>43</v>
      </c>
      <c r="I251" s="46">
        <v>0</v>
      </c>
      <c r="J251" s="46">
        <v>0</v>
      </c>
      <c r="K251" s="46">
        <v>0</v>
      </c>
      <c r="L251" s="46">
        <v>301.45499999999998</v>
      </c>
      <c r="M251" s="46">
        <v>0</v>
      </c>
      <c r="N251" s="46">
        <v>0</v>
      </c>
    </row>
    <row r="252" spans="2:14" outlineLevel="1" x14ac:dyDescent="0.25">
      <c r="B252">
        <v>2149</v>
      </c>
      <c r="C252" s="51" t="s">
        <v>48</v>
      </c>
      <c r="D252" s="51"/>
      <c r="E252" s="46">
        <v>283.97934782608701</v>
      </c>
      <c r="F252">
        <v>33.494999999999997</v>
      </c>
      <c r="G252" t="s">
        <v>43</v>
      </c>
      <c r="I252" s="46">
        <v>0</v>
      </c>
      <c r="J252" s="46">
        <v>0</v>
      </c>
      <c r="K252" s="46">
        <v>0</v>
      </c>
      <c r="L252" s="46">
        <v>0</v>
      </c>
      <c r="M252" s="46">
        <v>0</v>
      </c>
      <c r="N252" s="46">
        <v>283.97934782608701</v>
      </c>
    </row>
    <row r="253" spans="2:14" outlineLevel="1" x14ac:dyDescent="0.25">
      <c r="B253">
        <v>6490</v>
      </c>
      <c r="C253" s="51" t="s">
        <v>69</v>
      </c>
      <c r="D253" s="51"/>
      <c r="E253" s="46">
        <v>58.882005606745203</v>
      </c>
      <c r="F253">
        <v>77</v>
      </c>
      <c r="G253" t="s">
        <v>40</v>
      </c>
      <c r="I253" s="46">
        <v>0</v>
      </c>
      <c r="J253" s="46">
        <v>58.1426757010477</v>
      </c>
      <c r="K253" s="46">
        <v>0.28875000000000001</v>
      </c>
      <c r="L253" s="46">
        <v>0.45057990569747502</v>
      </c>
      <c r="M253" s="46">
        <v>0</v>
      </c>
      <c r="N253" s="46">
        <v>0</v>
      </c>
    </row>
    <row r="254" spans="2:14" outlineLevel="1" x14ac:dyDescent="0.25">
      <c r="B254">
        <v>2172</v>
      </c>
      <c r="C254" s="51" t="s">
        <v>133</v>
      </c>
      <c r="D254" s="51"/>
      <c r="E254" s="46">
        <v>283.36694182863698</v>
      </c>
      <c r="F254">
        <v>32.511111094</v>
      </c>
      <c r="G254" t="s">
        <v>43</v>
      </c>
      <c r="I254" s="46">
        <v>0</v>
      </c>
      <c r="J254" s="46">
        <v>0</v>
      </c>
      <c r="K254" s="46">
        <v>0</v>
      </c>
      <c r="L254" s="46">
        <v>283.36694182863698</v>
      </c>
      <c r="M254" s="46">
        <v>0</v>
      </c>
      <c r="N254" s="46">
        <v>0</v>
      </c>
    </row>
    <row r="255" spans="2:14" outlineLevel="1" x14ac:dyDescent="0.25">
      <c r="B255">
        <v>2149</v>
      </c>
      <c r="C255" s="51" t="s">
        <v>48</v>
      </c>
      <c r="D255" s="51"/>
      <c r="E255" s="46">
        <v>275.637681014348</v>
      </c>
      <c r="F255">
        <v>32.511111094</v>
      </c>
      <c r="G255" t="s">
        <v>43</v>
      </c>
      <c r="I255" s="46">
        <v>0</v>
      </c>
      <c r="J255" s="46">
        <v>0</v>
      </c>
      <c r="K255" s="46">
        <v>0</v>
      </c>
      <c r="L255" s="46">
        <v>0</v>
      </c>
      <c r="M255" s="46">
        <v>0</v>
      </c>
      <c r="N255" s="46">
        <v>275.637681014348</v>
      </c>
    </row>
    <row r="256" spans="2:14" outlineLevel="1" x14ac:dyDescent="0.25">
      <c r="B256">
        <v>2150</v>
      </c>
      <c r="C256" s="51" t="s">
        <v>38</v>
      </c>
      <c r="D256" s="51"/>
      <c r="E256" s="46">
        <v>275.637681014348</v>
      </c>
      <c r="F256">
        <v>32.511111094</v>
      </c>
      <c r="G256" t="s">
        <v>43</v>
      </c>
      <c r="H256" s="46"/>
      <c r="I256" s="46">
        <v>0</v>
      </c>
      <c r="J256" s="46">
        <v>0</v>
      </c>
      <c r="K256" s="46">
        <v>0</v>
      </c>
      <c r="L256" s="46">
        <v>0</v>
      </c>
      <c r="M256" s="46">
        <v>0</v>
      </c>
      <c r="N256" s="46">
        <v>275.637681014348</v>
      </c>
    </row>
    <row r="257" spans="2:14" outlineLevel="1" x14ac:dyDescent="0.25">
      <c r="B257">
        <v>2490</v>
      </c>
      <c r="C257" s="51" t="s">
        <v>37</v>
      </c>
      <c r="D257" s="51"/>
      <c r="E257" s="46">
        <v>97.533333282000001</v>
      </c>
      <c r="F257">
        <v>32.511111094</v>
      </c>
      <c r="G257" t="s">
        <v>43</v>
      </c>
      <c r="I257" s="46">
        <v>0</v>
      </c>
      <c r="J257" s="46">
        <v>0</v>
      </c>
      <c r="K257" s="46">
        <v>0</v>
      </c>
      <c r="L257" s="46">
        <v>97.533333282000001</v>
      </c>
      <c r="M257" s="46">
        <v>0</v>
      </c>
      <c r="N257" s="46">
        <v>0</v>
      </c>
    </row>
    <row r="258" spans="2:14" outlineLevel="1" x14ac:dyDescent="0.25">
      <c r="B258">
        <v>2150</v>
      </c>
      <c r="C258" s="51" t="s">
        <v>38</v>
      </c>
      <c r="D258" s="51"/>
      <c r="E258" s="46">
        <v>211.56400945027201</v>
      </c>
      <c r="F258">
        <v>24.953703678749999</v>
      </c>
      <c r="G258" t="s">
        <v>43</v>
      </c>
      <c r="I258" s="46">
        <v>0</v>
      </c>
      <c r="J258" s="46">
        <v>0</v>
      </c>
      <c r="K258" s="46">
        <v>0</v>
      </c>
      <c r="L258" s="46">
        <v>0</v>
      </c>
      <c r="M258" s="46">
        <v>0</v>
      </c>
      <c r="N258" s="46">
        <v>211.56400945027201</v>
      </c>
    </row>
    <row r="259" spans="2:14" outlineLevel="1" x14ac:dyDescent="0.25">
      <c r="B259">
        <v>2490</v>
      </c>
      <c r="C259" s="51" t="s">
        <v>37</v>
      </c>
      <c r="D259" s="51"/>
      <c r="E259" s="46">
        <v>74.861111036249994</v>
      </c>
      <c r="F259">
        <v>24.953703678749999</v>
      </c>
      <c r="G259" t="s">
        <v>43</v>
      </c>
      <c r="I259" s="46">
        <v>0</v>
      </c>
      <c r="J259" s="46">
        <v>0</v>
      </c>
      <c r="K259" s="46">
        <v>0</v>
      </c>
      <c r="L259" s="46">
        <v>74.861111036249994</v>
      </c>
      <c r="M259" s="46">
        <v>0</v>
      </c>
      <c r="N259" s="46">
        <v>0</v>
      </c>
    </row>
    <row r="260" spans="2:14" outlineLevel="1" x14ac:dyDescent="0.25">
      <c r="C260" s="48" t="s">
        <v>195</v>
      </c>
      <c r="D260" s="48"/>
      <c r="E260" s="46">
        <v>65685.778327388107</v>
      </c>
      <c r="F260">
        <v>1100</v>
      </c>
      <c r="G260" t="s">
        <v>40</v>
      </c>
      <c r="I260" s="46">
        <v>0</v>
      </c>
      <c r="J260" s="46">
        <v>18307.9887115366</v>
      </c>
      <c r="K260" s="46">
        <v>13322.833333333299</v>
      </c>
      <c r="L260" s="46">
        <v>14218.8145207464</v>
      </c>
      <c r="M260" s="46">
        <v>0</v>
      </c>
      <c r="N260" s="46">
        <v>19836.141761771702</v>
      </c>
    </row>
    <row r="261" spans="2:14" outlineLevel="1" x14ac:dyDescent="0.25">
      <c r="B261">
        <v>6008</v>
      </c>
      <c r="C261" s="51" t="s">
        <v>66</v>
      </c>
      <c r="D261" s="51"/>
      <c r="E261" s="46">
        <v>30517.842507707101</v>
      </c>
      <c r="F261">
        <v>1100</v>
      </c>
      <c r="G261" t="s">
        <v>40</v>
      </c>
      <c r="I261" s="46">
        <v>0</v>
      </c>
      <c r="J261" s="46">
        <v>17200.509174373801</v>
      </c>
      <c r="K261" s="46">
        <v>13317.333333333299</v>
      </c>
      <c r="L261" s="46">
        <v>0</v>
      </c>
      <c r="M261" s="46">
        <v>0</v>
      </c>
      <c r="N261" s="46">
        <v>0</v>
      </c>
    </row>
    <row r="262" spans="2:14" outlineLevel="1" x14ac:dyDescent="0.25">
      <c r="B262">
        <v>2180</v>
      </c>
      <c r="C262" s="51" t="s">
        <v>50</v>
      </c>
      <c r="D262" s="51"/>
      <c r="E262" s="46">
        <v>4809.42</v>
      </c>
      <c r="F262">
        <v>534.38</v>
      </c>
      <c r="G262" t="s">
        <v>43</v>
      </c>
      <c r="I262" s="46">
        <v>0</v>
      </c>
      <c r="J262" s="46">
        <v>0</v>
      </c>
      <c r="K262" s="46">
        <v>0</v>
      </c>
      <c r="L262" s="46">
        <v>4809.42</v>
      </c>
      <c r="M262" s="46">
        <v>0</v>
      </c>
      <c r="N262" s="46">
        <v>0</v>
      </c>
    </row>
    <row r="263" spans="2:14" outlineLevel="1" x14ac:dyDescent="0.25">
      <c r="B263">
        <v>2149</v>
      </c>
      <c r="C263" s="51" t="s">
        <v>48</v>
      </c>
      <c r="D263" s="51"/>
      <c r="E263" s="46">
        <v>4530.6130434782599</v>
      </c>
      <c r="F263">
        <v>534.38</v>
      </c>
      <c r="G263" t="s">
        <v>43</v>
      </c>
      <c r="I263" s="46">
        <v>0</v>
      </c>
      <c r="J263" s="46">
        <v>0</v>
      </c>
      <c r="K263" s="46">
        <v>0</v>
      </c>
      <c r="L263" s="46">
        <v>0</v>
      </c>
      <c r="M263" s="46">
        <v>0</v>
      </c>
      <c r="N263" s="46">
        <v>4530.6130434782599</v>
      </c>
    </row>
    <row r="264" spans="2:14" outlineLevel="1" x14ac:dyDescent="0.25">
      <c r="B264">
        <v>6490</v>
      </c>
      <c r="C264" s="51" t="s">
        <v>69</v>
      </c>
      <c r="D264" s="51"/>
      <c r="E264" s="46">
        <v>1124.4228337884599</v>
      </c>
      <c r="F264">
        <v>1100</v>
      </c>
      <c r="G264" t="s">
        <v>40</v>
      </c>
      <c r="I264" s="46">
        <v>0</v>
      </c>
      <c r="J264" s="46">
        <v>1107.4795371628099</v>
      </c>
      <c r="K264" s="46">
        <v>5.5</v>
      </c>
      <c r="L264" s="46">
        <v>11.4432966256502</v>
      </c>
      <c r="M264" s="46">
        <v>0</v>
      </c>
      <c r="N264" s="46">
        <v>0</v>
      </c>
    </row>
    <row r="265" spans="2:14" outlineLevel="1" x14ac:dyDescent="0.25">
      <c r="B265">
        <v>2172</v>
      </c>
      <c r="C265" s="51" t="s">
        <v>133</v>
      </c>
      <c r="D265" s="51"/>
      <c r="E265" s="46">
        <v>6072.1487534708003</v>
      </c>
      <c r="F265">
        <v>696.66666629999997</v>
      </c>
      <c r="G265" t="s">
        <v>43</v>
      </c>
      <c r="I265" s="46">
        <v>0</v>
      </c>
      <c r="J265" s="46">
        <v>0</v>
      </c>
      <c r="K265" s="46">
        <v>0</v>
      </c>
      <c r="L265" s="46">
        <v>6072.1487534708003</v>
      </c>
      <c r="M265" s="46">
        <v>0</v>
      </c>
      <c r="N265" s="46">
        <v>0</v>
      </c>
    </row>
    <row r="266" spans="2:14" outlineLevel="1" x14ac:dyDescent="0.25">
      <c r="B266">
        <v>2149</v>
      </c>
      <c r="C266" s="51" t="s">
        <v>48</v>
      </c>
      <c r="D266" s="51"/>
      <c r="E266" s="46">
        <v>5906.5217360217403</v>
      </c>
      <c r="F266">
        <v>696.66666629999997</v>
      </c>
      <c r="G266" t="s">
        <v>43</v>
      </c>
      <c r="I266" s="46">
        <v>0</v>
      </c>
      <c r="J266" s="46">
        <v>0</v>
      </c>
      <c r="K266" s="46">
        <v>0</v>
      </c>
      <c r="L266" s="46">
        <v>0</v>
      </c>
      <c r="M266" s="46">
        <v>0</v>
      </c>
      <c r="N266" s="46">
        <v>5906.5217360217403</v>
      </c>
    </row>
    <row r="267" spans="2:14" outlineLevel="1" x14ac:dyDescent="0.25">
      <c r="B267">
        <v>2150</v>
      </c>
      <c r="C267" s="51" t="s">
        <v>38</v>
      </c>
      <c r="D267" s="51"/>
      <c r="E267" s="46">
        <v>5906.5217360217403</v>
      </c>
      <c r="F267">
        <v>696.66666629999997</v>
      </c>
      <c r="G267" t="s">
        <v>43</v>
      </c>
      <c r="I267" s="46">
        <v>0</v>
      </c>
      <c r="J267" s="46">
        <v>0</v>
      </c>
      <c r="K267" s="46">
        <v>0</v>
      </c>
      <c r="L267" s="46">
        <v>0</v>
      </c>
      <c r="M267" s="46">
        <v>0</v>
      </c>
      <c r="N267" s="46">
        <v>5906.5217360217403</v>
      </c>
    </row>
    <row r="268" spans="2:14" outlineLevel="1" x14ac:dyDescent="0.25">
      <c r="B268">
        <v>2490</v>
      </c>
      <c r="C268" s="51" t="s">
        <v>37</v>
      </c>
      <c r="D268" s="51"/>
      <c r="E268" s="46">
        <v>2089.9999988999998</v>
      </c>
      <c r="F268">
        <v>696.66666629999997</v>
      </c>
      <c r="G268" t="s">
        <v>43</v>
      </c>
      <c r="I268" s="46">
        <v>0</v>
      </c>
      <c r="J268" s="46">
        <v>0</v>
      </c>
      <c r="K268" s="46">
        <v>0</v>
      </c>
      <c r="L268" s="46">
        <v>2089.9999988999998</v>
      </c>
      <c r="M268" s="46">
        <v>0</v>
      </c>
      <c r="N268" s="46">
        <v>0</v>
      </c>
    </row>
    <row r="269" spans="2:14" outlineLevel="1" x14ac:dyDescent="0.25">
      <c r="B269">
        <v>2150</v>
      </c>
      <c r="C269" s="51" t="s">
        <v>38</v>
      </c>
      <c r="D269" s="51"/>
      <c r="E269" s="46">
        <v>3492.4852462499998</v>
      </c>
      <c r="F269">
        <v>411.93415725</v>
      </c>
      <c r="G269" t="s">
        <v>43</v>
      </c>
      <c r="I269" s="46">
        <v>0</v>
      </c>
      <c r="J269" s="46">
        <v>0</v>
      </c>
      <c r="K269" s="46">
        <v>0</v>
      </c>
      <c r="L269" s="46">
        <v>0</v>
      </c>
      <c r="M269" s="46">
        <v>0</v>
      </c>
      <c r="N269" s="46">
        <v>3492.4852462499998</v>
      </c>
    </row>
    <row r="270" spans="2:14" outlineLevel="1" x14ac:dyDescent="0.25">
      <c r="B270">
        <v>2490</v>
      </c>
      <c r="C270" s="51" t="s">
        <v>37</v>
      </c>
      <c r="D270" s="51"/>
      <c r="E270" s="46">
        <v>1235.80247175</v>
      </c>
      <c r="F270">
        <v>411.93415725</v>
      </c>
      <c r="G270" t="s">
        <v>43</v>
      </c>
      <c r="H270" s="46"/>
      <c r="I270" s="46">
        <v>0</v>
      </c>
      <c r="J270" s="46">
        <v>0</v>
      </c>
      <c r="K270" s="46">
        <v>0</v>
      </c>
      <c r="L270" s="46">
        <v>1235.80247175</v>
      </c>
      <c r="M270" s="46">
        <v>0</v>
      </c>
      <c r="N270" s="46">
        <v>0</v>
      </c>
    </row>
    <row r="271" spans="2:14" outlineLevel="1" x14ac:dyDescent="0.25">
      <c r="C271" s="48" t="s">
        <v>196</v>
      </c>
      <c r="D271" s="48"/>
      <c r="E271" s="46">
        <v>10347.837363151701</v>
      </c>
      <c r="F271">
        <v>169</v>
      </c>
      <c r="G271" t="s">
        <v>40</v>
      </c>
      <c r="I271" s="46">
        <v>0</v>
      </c>
      <c r="J271" s="46">
        <v>2812.7728111360798</v>
      </c>
      <c r="K271" s="46">
        <v>2046.8716666666701</v>
      </c>
      <c r="L271" s="46">
        <v>2290.3190520933599</v>
      </c>
      <c r="M271" s="46">
        <v>0</v>
      </c>
      <c r="N271" s="46">
        <v>3197.8738332555999</v>
      </c>
    </row>
    <row r="272" spans="2:14" outlineLevel="1" x14ac:dyDescent="0.25">
      <c r="B272">
        <v>6010</v>
      </c>
      <c r="C272" s="51" t="s">
        <v>197</v>
      </c>
      <c r="D272" s="51"/>
      <c r="E272" s="46">
        <v>4688.6503489113702</v>
      </c>
      <c r="F272">
        <v>169</v>
      </c>
      <c r="G272" t="s">
        <v>40</v>
      </c>
      <c r="I272" s="46">
        <v>0</v>
      </c>
      <c r="J272" s="46">
        <v>2642.6236822446999</v>
      </c>
      <c r="K272" s="46">
        <v>2046.0266666666701</v>
      </c>
      <c r="L272" s="46">
        <v>0</v>
      </c>
      <c r="M272" s="46">
        <v>0</v>
      </c>
      <c r="N272" s="46">
        <v>0</v>
      </c>
    </row>
    <row r="273" spans="2:14" outlineLevel="1" x14ac:dyDescent="0.25">
      <c r="B273">
        <v>2180</v>
      </c>
      <c r="C273" s="51" t="s">
        <v>50</v>
      </c>
      <c r="D273" s="51"/>
      <c r="E273" s="46">
        <v>816.32069999999999</v>
      </c>
      <c r="F273">
        <v>90.702299999999894</v>
      </c>
      <c r="G273" t="s">
        <v>43</v>
      </c>
      <c r="I273" s="46">
        <v>0</v>
      </c>
      <c r="J273" s="46">
        <v>0</v>
      </c>
      <c r="K273" s="46">
        <v>0</v>
      </c>
      <c r="L273" s="46">
        <v>816.32069999999999</v>
      </c>
      <c r="M273" s="46">
        <v>0</v>
      </c>
      <c r="N273" s="46">
        <v>0</v>
      </c>
    </row>
    <row r="274" spans="2:14" outlineLevel="1" x14ac:dyDescent="0.25">
      <c r="B274">
        <v>2149</v>
      </c>
      <c r="C274" s="51" t="s">
        <v>48</v>
      </c>
      <c r="D274" s="51"/>
      <c r="E274" s="46">
        <v>768.99776086956501</v>
      </c>
      <c r="F274">
        <v>90.702299999999894</v>
      </c>
      <c r="G274" t="s">
        <v>43</v>
      </c>
      <c r="I274" s="46">
        <v>0</v>
      </c>
      <c r="J274" s="46">
        <v>0</v>
      </c>
      <c r="K274" s="46">
        <v>0</v>
      </c>
      <c r="L274" s="46">
        <v>0</v>
      </c>
      <c r="M274" s="46">
        <v>0</v>
      </c>
      <c r="N274" s="46">
        <v>768.99776086956501</v>
      </c>
    </row>
    <row r="275" spans="2:14" outlineLevel="1" x14ac:dyDescent="0.25">
      <c r="B275">
        <v>6490</v>
      </c>
      <c r="C275" s="51" t="s">
        <v>69</v>
      </c>
      <c r="D275" s="51"/>
      <c r="E275" s="46">
        <v>173.74117049065401</v>
      </c>
      <c r="F275">
        <v>169</v>
      </c>
      <c r="G275" t="s">
        <v>40</v>
      </c>
      <c r="I275" s="46">
        <v>0</v>
      </c>
      <c r="J275" s="46">
        <v>170.14912889137801</v>
      </c>
      <c r="K275" s="46">
        <v>0.84499999999999997</v>
      </c>
      <c r="L275" s="46">
        <v>2.74704159927682</v>
      </c>
      <c r="M275" s="46">
        <v>0</v>
      </c>
      <c r="N275" s="46">
        <v>0</v>
      </c>
    </row>
    <row r="276" spans="2:14" outlineLevel="1" x14ac:dyDescent="0.25">
      <c r="B276">
        <v>2172</v>
      </c>
      <c r="C276" s="51" t="s">
        <v>133</v>
      </c>
      <c r="D276" s="51"/>
      <c r="E276" s="46">
        <v>932.90285394233194</v>
      </c>
      <c r="F276">
        <v>107.033333277</v>
      </c>
      <c r="G276" t="s">
        <v>43</v>
      </c>
      <c r="I276" s="46">
        <v>0</v>
      </c>
      <c r="J276" s="46">
        <v>0</v>
      </c>
      <c r="K276" s="46">
        <v>0</v>
      </c>
      <c r="L276" s="46">
        <v>932.90285394233194</v>
      </c>
      <c r="M276" s="46">
        <v>0</v>
      </c>
      <c r="N276" s="46">
        <v>0</v>
      </c>
    </row>
    <row r="277" spans="2:14" outlineLevel="1" x14ac:dyDescent="0.25">
      <c r="B277">
        <v>2149</v>
      </c>
      <c r="C277" s="51" t="s">
        <v>48</v>
      </c>
      <c r="D277" s="51"/>
      <c r="E277" s="46">
        <v>907.45652126152197</v>
      </c>
      <c r="F277">
        <v>107.033333277</v>
      </c>
      <c r="G277" t="s">
        <v>43</v>
      </c>
      <c r="I277" s="46">
        <v>0</v>
      </c>
      <c r="J277" s="46">
        <v>0</v>
      </c>
      <c r="K277" s="46">
        <v>0</v>
      </c>
      <c r="L277" s="46">
        <v>0</v>
      </c>
      <c r="M277" s="46">
        <v>0</v>
      </c>
      <c r="N277" s="46">
        <v>907.45652126152197</v>
      </c>
    </row>
    <row r="278" spans="2:14" outlineLevel="1" x14ac:dyDescent="0.25">
      <c r="B278">
        <v>2150</v>
      </c>
      <c r="C278" s="51" t="s">
        <v>38</v>
      </c>
      <c r="D278" s="51"/>
      <c r="E278" s="46">
        <v>907.45652126152197</v>
      </c>
      <c r="F278">
        <v>107.033333277</v>
      </c>
      <c r="G278" t="s">
        <v>43</v>
      </c>
      <c r="I278" s="46">
        <v>0</v>
      </c>
      <c r="J278" s="46">
        <v>0</v>
      </c>
      <c r="K278" s="46">
        <v>0</v>
      </c>
      <c r="L278" s="46">
        <v>0</v>
      </c>
      <c r="M278" s="46">
        <v>0</v>
      </c>
      <c r="N278" s="46">
        <v>907.45652126152197</v>
      </c>
    </row>
    <row r="279" spans="2:14" outlineLevel="1" x14ac:dyDescent="0.25">
      <c r="B279">
        <v>2490</v>
      </c>
      <c r="C279" s="51" t="s">
        <v>37</v>
      </c>
      <c r="D279" s="51"/>
      <c r="E279" s="46">
        <v>321.09999983099999</v>
      </c>
      <c r="F279">
        <v>107.033333277</v>
      </c>
      <c r="G279" t="s">
        <v>43</v>
      </c>
      <c r="I279" s="46">
        <v>0</v>
      </c>
      <c r="J279" s="46">
        <v>0</v>
      </c>
      <c r="K279" s="46">
        <v>0</v>
      </c>
      <c r="L279" s="46">
        <v>321.09999983099999</v>
      </c>
      <c r="M279" s="46">
        <v>0</v>
      </c>
      <c r="N279" s="46">
        <v>0</v>
      </c>
    </row>
    <row r="280" spans="2:14" outlineLevel="1" x14ac:dyDescent="0.25">
      <c r="B280">
        <v>2150</v>
      </c>
      <c r="C280" s="51" t="s">
        <v>38</v>
      </c>
      <c r="D280" s="51"/>
      <c r="E280" s="46">
        <v>613.96302986298895</v>
      </c>
      <c r="F280">
        <v>72.41615224025</v>
      </c>
      <c r="G280" t="s">
        <v>43</v>
      </c>
      <c r="I280" s="46">
        <v>0</v>
      </c>
      <c r="J280" s="46">
        <v>0</v>
      </c>
      <c r="K280" s="46">
        <v>0</v>
      </c>
      <c r="L280" s="46">
        <v>0</v>
      </c>
      <c r="M280" s="46">
        <v>0</v>
      </c>
      <c r="N280" s="46">
        <v>613.96302986298895</v>
      </c>
    </row>
    <row r="281" spans="2:14" outlineLevel="1" x14ac:dyDescent="0.25">
      <c r="B281">
        <v>2490</v>
      </c>
      <c r="C281" s="51" t="s">
        <v>37</v>
      </c>
      <c r="D281" s="51"/>
      <c r="E281" s="46">
        <v>217.24845672075</v>
      </c>
      <c r="F281">
        <v>72.41615224025</v>
      </c>
      <c r="G281" t="s">
        <v>43</v>
      </c>
      <c r="I281" s="46">
        <v>0</v>
      </c>
      <c r="J281" s="46">
        <v>0</v>
      </c>
      <c r="K281" s="46">
        <v>0</v>
      </c>
      <c r="L281" s="46">
        <v>217.24845672075</v>
      </c>
      <c r="M281" s="46">
        <v>0</v>
      </c>
      <c r="N281" s="46">
        <v>0</v>
      </c>
    </row>
    <row r="282" spans="2:14" outlineLevel="1" x14ac:dyDescent="0.25">
      <c r="C282" s="48" t="s">
        <v>198</v>
      </c>
      <c r="D282" s="48"/>
      <c r="E282" s="46">
        <v>1429.1144841763</v>
      </c>
      <c r="F282">
        <v>2</v>
      </c>
      <c r="G282" t="s">
        <v>39</v>
      </c>
      <c r="I282" s="46">
        <v>0</v>
      </c>
      <c r="J282" s="46">
        <v>338.95948417630098</v>
      </c>
      <c r="K282" s="46">
        <v>141.875</v>
      </c>
      <c r="L282" s="46">
        <v>948.28</v>
      </c>
      <c r="M282" s="46">
        <v>0</v>
      </c>
      <c r="N282" s="46">
        <v>0</v>
      </c>
    </row>
    <row r="283" spans="2:14" outlineLevel="1" x14ac:dyDescent="0.25">
      <c r="B283">
        <v>6410</v>
      </c>
      <c r="C283" s="51" t="s">
        <v>99</v>
      </c>
      <c r="D283" s="51"/>
      <c r="E283" s="46">
        <v>192.33379367052001</v>
      </c>
      <c r="F283">
        <v>2</v>
      </c>
      <c r="G283" t="s">
        <v>39</v>
      </c>
      <c r="I283" s="46">
        <v>0</v>
      </c>
      <c r="J283" s="46">
        <v>135.58379367052001</v>
      </c>
      <c r="K283" s="46">
        <v>56.75</v>
      </c>
      <c r="L283" s="46">
        <v>0</v>
      </c>
      <c r="M283" s="46">
        <v>0</v>
      </c>
      <c r="N283" s="46">
        <v>0</v>
      </c>
    </row>
    <row r="284" spans="2:14" outlineLevel="1" x14ac:dyDescent="0.25">
      <c r="B284">
        <v>6480</v>
      </c>
      <c r="C284" s="51" t="s">
        <v>96</v>
      </c>
      <c r="D284" s="51"/>
      <c r="E284" s="46">
        <v>673.6</v>
      </c>
      <c r="F284">
        <v>2</v>
      </c>
      <c r="G284" t="s">
        <v>39</v>
      </c>
      <c r="I284" s="46">
        <v>0</v>
      </c>
      <c r="J284" s="46">
        <v>0</v>
      </c>
      <c r="K284" s="46">
        <v>0</v>
      </c>
      <c r="L284" s="46">
        <v>673.6</v>
      </c>
      <c r="M284" s="46">
        <v>0</v>
      </c>
      <c r="N284" s="46">
        <v>0</v>
      </c>
    </row>
    <row r="285" spans="2:14" outlineLevel="1" x14ac:dyDescent="0.25">
      <c r="B285">
        <v>6415</v>
      </c>
      <c r="C285" s="51" t="s">
        <v>100</v>
      </c>
      <c r="D285" s="51"/>
      <c r="E285" s="46">
        <v>563.18069050578003</v>
      </c>
      <c r="F285">
        <v>2</v>
      </c>
      <c r="G285" t="s">
        <v>39</v>
      </c>
      <c r="I285" s="46">
        <v>0</v>
      </c>
      <c r="J285" s="46">
        <v>203.37569050578</v>
      </c>
      <c r="K285" s="46">
        <v>85.125</v>
      </c>
      <c r="L285" s="46">
        <v>274.68</v>
      </c>
      <c r="M285" s="46">
        <v>0</v>
      </c>
      <c r="N285" s="46">
        <v>0</v>
      </c>
    </row>
    <row r="286" spans="2:14" outlineLevel="1" x14ac:dyDescent="0.25">
      <c r="C286" s="48" t="s">
        <v>199</v>
      </c>
      <c r="D286" s="48"/>
      <c r="E286" s="46">
        <v>599.75724208814995</v>
      </c>
      <c r="F286">
        <v>1</v>
      </c>
      <c r="G286" t="s">
        <v>39</v>
      </c>
      <c r="I286" s="46">
        <v>0</v>
      </c>
      <c r="J286" s="46">
        <v>169.47974208815</v>
      </c>
      <c r="K286" s="46">
        <v>70.9375</v>
      </c>
      <c r="L286" s="46">
        <v>359.34</v>
      </c>
      <c r="M286" s="46">
        <v>0</v>
      </c>
      <c r="N286" s="46">
        <v>0</v>
      </c>
    </row>
    <row r="287" spans="2:14" outlineLevel="1" x14ac:dyDescent="0.25">
      <c r="B287">
        <v>6410</v>
      </c>
      <c r="C287" s="51" t="s">
        <v>99</v>
      </c>
      <c r="D287" s="51"/>
      <c r="E287" s="46">
        <v>96.166896835260104</v>
      </c>
      <c r="F287">
        <v>1</v>
      </c>
      <c r="G287" t="s">
        <v>39</v>
      </c>
      <c r="I287" s="46">
        <v>0</v>
      </c>
      <c r="J287" s="46">
        <v>67.791896835260104</v>
      </c>
      <c r="K287" s="46">
        <v>28.375</v>
      </c>
      <c r="L287" s="46">
        <v>0</v>
      </c>
      <c r="M287" s="46">
        <v>0</v>
      </c>
      <c r="N287" s="46">
        <v>0</v>
      </c>
    </row>
    <row r="288" spans="2:14" outlineLevel="1" x14ac:dyDescent="0.25">
      <c r="B288">
        <v>6480</v>
      </c>
      <c r="C288" s="51" t="s">
        <v>96</v>
      </c>
      <c r="D288" s="51"/>
      <c r="E288" s="46">
        <v>222</v>
      </c>
      <c r="F288">
        <v>1</v>
      </c>
      <c r="G288" t="s">
        <v>34</v>
      </c>
      <c r="I288" s="46">
        <v>0</v>
      </c>
      <c r="J288" s="46">
        <v>0</v>
      </c>
      <c r="K288" s="46">
        <v>0</v>
      </c>
      <c r="L288" s="46">
        <v>222</v>
      </c>
      <c r="M288" s="46">
        <v>0</v>
      </c>
      <c r="N288" s="46">
        <v>0</v>
      </c>
    </row>
    <row r="289" spans="2:14" outlineLevel="1" x14ac:dyDescent="0.25">
      <c r="B289">
        <v>6415</v>
      </c>
      <c r="C289" s="51" t="s">
        <v>100</v>
      </c>
      <c r="D289" s="51"/>
      <c r="E289" s="46">
        <v>281.59034525289002</v>
      </c>
      <c r="F289">
        <v>1</v>
      </c>
      <c r="G289" t="s">
        <v>39</v>
      </c>
      <c r="I289" s="46">
        <v>0</v>
      </c>
      <c r="J289" s="46">
        <v>101.68784525289</v>
      </c>
      <c r="K289" s="46">
        <v>42.5625</v>
      </c>
      <c r="L289" s="46">
        <v>137.34</v>
      </c>
      <c r="M289" s="46">
        <v>0</v>
      </c>
      <c r="N289" s="46">
        <v>0</v>
      </c>
    </row>
    <row r="290" spans="2:14" outlineLevel="1" x14ac:dyDescent="0.25">
      <c r="C290" s="48" t="s">
        <v>200</v>
      </c>
      <c r="D290" s="48"/>
      <c r="E290" s="46">
        <v>333.82284154624301</v>
      </c>
      <c r="F290">
        <v>1</v>
      </c>
      <c r="G290" t="s">
        <v>39</v>
      </c>
      <c r="H290" s="46"/>
      <c r="I290" s="46">
        <v>0</v>
      </c>
      <c r="J290" s="46">
        <v>228.117841546243</v>
      </c>
      <c r="K290" s="46">
        <v>85.125</v>
      </c>
      <c r="L290" s="46">
        <v>20.58</v>
      </c>
      <c r="M290" s="46">
        <v>0</v>
      </c>
      <c r="N290" s="46">
        <v>0</v>
      </c>
    </row>
    <row r="291" spans="2:14" outlineLevel="1" x14ac:dyDescent="0.25">
      <c r="B291">
        <v>6410</v>
      </c>
      <c r="C291" s="51" t="s">
        <v>99</v>
      </c>
      <c r="D291" s="51"/>
      <c r="E291" s="46">
        <v>120.909047875723</v>
      </c>
      <c r="F291">
        <v>1</v>
      </c>
      <c r="G291" t="s">
        <v>39</v>
      </c>
      <c r="I291" s="46">
        <v>0</v>
      </c>
      <c r="J291" s="46">
        <v>92.534047875722607</v>
      </c>
      <c r="K291" s="46">
        <v>28.375</v>
      </c>
      <c r="L291" s="46">
        <v>0</v>
      </c>
      <c r="M291" s="46">
        <v>0</v>
      </c>
      <c r="N291" s="46">
        <v>0</v>
      </c>
    </row>
    <row r="292" spans="2:14" outlineLevel="1" x14ac:dyDescent="0.25">
      <c r="B292">
        <v>6415</v>
      </c>
      <c r="C292" s="51" t="s">
        <v>100</v>
      </c>
      <c r="D292" s="51"/>
      <c r="E292" s="46">
        <v>212.91379367051999</v>
      </c>
      <c r="F292">
        <v>1</v>
      </c>
      <c r="G292" t="s">
        <v>39</v>
      </c>
      <c r="I292" s="46">
        <v>0</v>
      </c>
      <c r="J292" s="46">
        <v>135.58379367052001</v>
      </c>
      <c r="K292" s="46">
        <v>56.75</v>
      </c>
      <c r="L292" s="46">
        <v>20.58</v>
      </c>
      <c r="M292" s="46">
        <v>0</v>
      </c>
      <c r="N292" s="46">
        <v>0</v>
      </c>
    </row>
    <row r="293" spans="2:14" outlineLevel="1" x14ac:dyDescent="0.25">
      <c r="C293" s="48" t="s">
        <v>201</v>
      </c>
      <c r="D293" s="48"/>
      <c r="E293" s="46">
        <v>1393.5193820896</v>
      </c>
      <c r="F293">
        <v>3</v>
      </c>
      <c r="G293" t="s">
        <v>39</v>
      </c>
      <c r="I293" s="46">
        <v>0</v>
      </c>
      <c r="J293" s="46">
        <v>795.39438208959496</v>
      </c>
      <c r="K293" s="46">
        <v>289.42500000000001</v>
      </c>
      <c r="L293" s="46">
        <v>308.7</v>
      </c>
      <c r="M293" s="46">
        <v>0</v>
      </c>
      <c r="N293" s="46">
        <v>0</v>
      </c>
    </row>
    <row r="294" spans="2:14" outlineLevel="1" x14ac:dyDescent="0.25">
      <c r="B294">
        <v>6410</v>
      </c>
      <c r="C294" s="51" t="s">
        <v>99</v>
      </c>
      <c r="D294" s="51"/>
      <c r="E294" s="46">
        <v>507.81800107803502</v>
      </c>
      <c r="F294">
        <v>3</v>
      </c>
      <c r="G294" t="s">
        <v>39</v>
      </c>
      <c r="I294" s="46">
        <v>0</v>
      </c>
      <c r="J294" s="46">
        <v>388.64300107803501</v>
      </c>
      <c r="K294" s="46">
        <v>119.175</v>
      </c>
      <c r="L294" s="46">
        <v>0</v>
      </c>
      <c r="M294" s="46">
        <v>0</v>
      </c>
      <c r="N294" s="46">
        <v>0</v>
      </c>
    </row>
    <row r="295" spans="2:14" outlineLevel="1" x14ac:dyDescent="0.25">
      <c r="B295">
        <v>6415</v>
      </c>
      <c r="C295" s="51" t="s">
        <v>100</v>
      </c>
      <c r="D295" s="51"/>
      <c r="E295" s="46">
        <v>885.70138101156101</v>
      </c>
      <c r="F295">
        <v>3</v>
      </c>
      <c r="G295" t="s">
        <v>39</v>
      </c>
      <c r="I295" s="46">
        <v>0</v>
      </c>
      <c r="J295" s="46">
        <v>406.75138101156102</v>
      </c>
      <c r="K295" s="46">
        <v>170.25</v>
      </c>
      <c r="L295" s="46">
        <v>308.7</v>
      </c>
      <c r="M295" s="46">
        <v>0</v>
      </c>
      <c r="N295" s="46">
        <v>0</v>
      </c>
    </row>
    <row r="296" spans="2:14" outlineLevel="1" x14ac:dyDescent="0.25">
      <c r="C296" s="48" t="s">
        <v>202</v>
      </c>
      <c r="D296" s="48"/>
      <c r="E296" s="46">
        <v>1052.49292139306</v>
      </c>
      <c r="F296">
        <v>2</v>
      </c>
      <c r="G296" t="s">
        <v>39</v>
      </c>
      <c r="I296" s="46">
        <v>0</v>
      </c>
      <c r="J296" s="46">
        <v>530.26292139306395</v>
      </c>
      <c r="K296" s="46">
        <v>192.95</v>
      </c>
      <c r="L296" s="46">
        <v>329.28</v>
      </c>
      <c r="M296" s="46">
        <v>0</v>
      </c>
      <c r="N296" s="46">
        <v>0</v>
      </c>
    </row>
    <row r="297" spans="2:14" outlineLevel="1" x14ac:dyDescent="0.25">
      <c r="B297">
        <v>6410</v>
      </c>
      <c r="C297" s="51" t="s">
        <v>99</v>
      </c>
      <c r="D297" s="51"/>
      <c r="E297" s="46">
        <v>338.54533405202301</v>
      </c>
      <c r="F297">
        <v>2</v>
      </c>
      <c r="G297" t="s">
        <v>39</v>
      </c>
      <c r="I297" s="46">
        <v>0</v>
      </c>
      <c r="J297" s="46">
        <v>259.09533405202302</v>
      </c>
      <c r="K297" s="46">
        <v>79.45</v>
      </c>
      <c r="L297" s="46">
        <v>0</v>
      </c>
      <c r="M297" s="46">
        <v>0</v>
      </c>
      <c r="N297" s="46">
        <v>0</v>
      </c>
    </row>
    <row r="298" spans="2:14" outlineLevel="1" x14ac:dyDescent="0.25">
      <c r="B298">
        <v>6415</v>
      </c>
      <c r="C298" s="51" t="s">
        <v>100</v>
      </c>
      <c r="D298" s="51"/>
      <c r="E298" s="46">
        <v>713.94758734104096</v>
      </c>
      <c r="F298">
        <v>2</v>
      </c>
      <c r="G298" t="s">
        <v>39</v>
      </c>
      <c r="I298" s="46">
        <v>0</v>
      </c>
      <c r="J298" s="46">
        <v>271.16758734104098</v>
      </c>
      <c r="K298" s="46">
        <v>113.5</v>
      </c>
      <c r="L298" s="46">
        <v>329.28</v>
      </c>
      <c r="M298" s="46">
        <v>0</v>
      </c>
      <c r="N298" s="46">
        <v>0</v>
      </c>
    </row>
    <row r="299" spans="2:14" outlineLevel="1" x14ac:dyDescent="0.25">
      <c r="C299" s="48" t="s">
        <v>203</v>
      </c>
      <c r="D299" s="48"/>
      <c r="E299" s="46">
        <v>1635.2725723526</v>
      </c>
      <c r="F299">
        <v>3</v>
      </c>
      <c r="G299" t="s">
        <v>39</v>
      </c>
      <c r="I299" s="46">
        <v>0</v>
      </c>
      <c r="J299" s="46">
        <v>333.12257235260103</v>
      </c>
      <c r="K299" s="46">
        <v>102.15</v>
      </c>
      <c r="L299" s="46">
        <v>0</v>
      </c>
      <c r="M299" s="46">
        <v>1200</v>
      </c>
      <c r="N299" s="46">
        <v>0</v>
      </c>
    </row>
    <row r="300" spans="2:14" outlineLevel="1" x14ac:dyDescent="0.25">
      <c r="B300">
        <v>6410</v>
      </c>
      <c r="C300" s="51" t="s">
        <v>204</v>
      </c>
      <c r="D300" s="51"/>
      <c r="E300" s="46">
        <v>435.272572352601</v>
      </c>
      <c r="F300">
        <v>3</v>
      </c>
      <c r="G300" t="s">
        <v>39</v>
      </c>
      <c r="I300" s="46">
        <v>0</v>
      </c>
      <c r="J300" s="46">
        <v>333.12257235260103</v>
      </c>
      <c r="K300" s="46">
        <v>102.15</v>
      </c>
      <c r="L300" s="46">
        <v>0</v>
      </c>
      <c r="M300" s="46">
        <v>0</v>
      </c>
      <c r="N300" s="46">
        <v>0</v>
      </c>
    </row>
    <row r="301" spans="2:14" outlineLevel="1" x14ac:dyDescent="0.25">
      <c r="B301">
        <v>3290</v>
      </c>
      <c r="C301" s="51" t="s">
        <v>52</v>
      </c>
      <c r="D301" s="51"/>
      <c r="E301" s="46">
        <v>1200</v>
      </c>
      <c r="F301">
        <v>3</v>
      </c>
      <c r="G301" t="s">
        <v>39</v>
      </c>
      <c r="I301" s="46">
        <v>0</v>
      </c>
      <c r="J301" s="46">
        <v>0</v>
      </c>
      <c r="K301" s="46">
        <v>0</v>
      </c>
      <c r="L301" s="46">
        <v>0</v>
      </c>
      <c r="M301" s="46">
        <v>1200</v>
      </c>
      <c r="N301" s="46">
        <v>0</v>
      </c>
    </row>
    <row r="302" spans="2:14" outlineLevel="1" x14ac:dyDescent="0.25">
      <c r="C302" s="48" t="s">
        <v>205</v>
      </c>
      <c r="D302" s="48"/>
      <c r="E302" s="46">
        <v>569.27266702601196</v>
      </c>
      <c r="F302">
        <v>1</v>
      </c>
      <c r="G302" t="s">
        <v>39</v>
      </c>
      <c r="I302" s="46">
        <v>0</v>
      </c>
      <c r="J302" s="46">
        <v>129.54766702601199</v>
      </c>
      <c r="K302" s="46">
        <v>39.725000000000001</v>
      </c>
      <c r="L302" s="46">
        <v>0</v>
      </c>
      <c r="M302" s="46">
        <v>400</v>
      </c>
      <c r="N302" s="46">
        <v>0</v>
      </c>
    </row>
    <row r="303" spans="2:14" outlineLevel="1" x14ac:dyDescent="0.25">
      <c r="B303">
        <v>6410</v>
      </c>
      <c r="C303" s="51" t="s">
        <v>99</v>
      </c>
      <c r="D303" s="51"/>
      <c r="E303" s="46">
        <v>169.27266702601199</v>
      </c>
      <c r="F303">
        <v>1</v>
      </c>
      <c r="G303" t="s">
        <v>39</v>
      </c>
      <c r="I303" s="46">
        <v>0</v>
      </c>
      <c r="J303" s="46">
        <v>129.54766702601199</v>
      </c>
      <c r="K303" s="46">
        <v>39.725000000000001</v>
      </c>
      <c r="L303" s="46">
        <v>0</v>
      </c>
      <c r="M303" s="46">
        <v>0</v>
      </c>
      <c r="N303" s="46">
        <v>0</v>
      </c>
    </row>
    <row r="304" spans="2:14" outlineLevel="1" x14ac:dyDescent="0.25">
      <c r="B304">
        <v>3290</v>
      </c>
      <c r="C304" s="51" t="s">
        <v>52</v>
      </c>
      <c r="D304" s="51"/>
      <c r="E304" s="46">
        <v>400</v>
      </c>
      <c r="F304">
        <v>1</v>
      </c>
      <c r="G304" t="s">
        <v>39</v>
      </c>
      <c r="I304" s="46">
        <v>0</v>
      </c>
      <c r="J304" s="46">
        <v>0</v>
      </c>
      <c r="K304" s="46">
        <v>0</v>
      </c>
      <c r="L304" s="46">
        <v>0</v>
      </c>
      <c r="M304" s="46">
        <v>400</v>
      </c>
      <c r="N304" s="46">
        <v>0</v>
      </c>
    </row>
    <row r="305" spans="2:14" outlineLevel="1" x14ac:dyDescent="0.25">
      <c r="C305" s="48" t="s">
        <v>206</v>
      </c>
      <c r="D305" s="48"/>
      <c r="E305" s="46">
        <v>2640.0225790424702</v>
      </c>
      <c r="F305">
        <v>2</v>
      </c>
      <c r="G305" t="s">
        <v>39</v>
      </c>
      <c r="I305" s="46">
        <v>0</v>
      </c>
      <c r="J305" s="46">
        <v>1011.43997034682</v>
      </c>
      <c r="K305" s="46">
        <v>340.5</v>
      </c>
      <c r="L305" s="46">
        <v>403.3</v>
      </c>
      <c r="M305" s="46">
        <v>800</v>
      </c>
      <c r="N305" s="46">
        <v>84.7826086956522</v>
      </c>
    </row>
    <row r="306" spans="2:14" outlineLevel="1" x14ac:dyDescent="0.25">
      <c r="B306">
        <v>6420</v>
      </c>
      <c r="C306" s="51" t="s">
        <v>67</v>
      </c>
      <c r="D306" s="51"/>
      <c r="E306" s="46">
        <v>967.27238300578097</v>
      </c>
      <c r="F306">
        <v>2</v>
      </c>
      <c r="G306" t="s">
        <v>39</v>
      </c>
      <c r="I306" s="46">
        <v>0</v>
      </c>
      <c r="J306" s="46">
        <v>740.27238300578097</v>
      </c>
      <c r="K306" s="46">
        <v>227</v>
      </c>
      <c r="L306" s="46">
        <v>0</v>
      </c>
      <c r="M306" s="46">
        <v>0</v>
      </c>
      <c r="N306" s="46">
        <v>0</v>
      </c>
    </row>
    <row r="307" spans="2:14" outlineLevel="1" x14ac:dyDescent="0.25">
      <c r="B307">
        <v>2185</v>
      </c>
      <c r="C307" s="52" t="s">
        <v>51</v>
      </c>
      <c r="D307" s="52"/>
      <c r="E307" s="46">
        <v>197.5</v>
      </c>
      <c r="F307">
        <v>10</v>
      </c>
      <c r="G307" t="s">
        <v>43</v>
      </c>
      <c r="H307" s="46"/>
      <c r="I307" s="46">
        <v>0</v>
      </c>
      <c r="J307" s="46">
        <v>0</v>
      </c>
      <c r="K307" s="46">
        <v>0</v>
      </c>
      <c r="L307" s="46">
        <v>197.5</v>
      </c>
      <c r="M307" s="46">
        <v>0</v>
      </c>
      <c r="N307" s="46">
        <v>0</v>
      </c>
    </row>
    <row r="308" spans="2:14" outlineLevel="1" x14ac:dyDescent="0.25">
      <c r="B308">
        <v>2149</v>
      </c>
      <c r="C308" s="51" t="s">
        <v>48</v>
      </c>
      <c r="D308" s="51"/>
      <c r="E308" s="46">
        <v>84.7826086956522</v>
      </c>
      <c r="F308">
        <v>10</v>
      </c>
      <c r="G308" t="s">
        <v>43</v>
      </c>
      <c r="I308" s="46">
        <v>0</v>
      </c>
      <c r="J308" s="46">
        <v>0</v>
      </c>
      <c r="K308" s="46">
        <v>0</v>
      </c>
      <c r="L308" s="46">
        <v>0</v>
      </c>
      <c r="M308" s="46">
        <v>0</v>
      </c>
      <c r="N308" s="46">
        <v>84.7826086956522</v>
      </c>
    </row>
    <row r="309" spans="2:14" outlineLevel="1" x14ac:dyDescent="0.25">
      <c r="B309">
        <v>3290</v>
      </c>
      <c r="C309" s="51" t="s">
        <v>52</v>
      </c>
      <c r="D309" s="51"/>
      <c r="E309" s="46">
        <v>800</v>
      </c>
      <c r="F309">
        <v>2</v>
      </c>
      <c r="G309" t="s">
        <v>39</v>
      </c>
      <c r="I309" s="46">
        <v>0</v>
      </c>
      <c r="J309" s="46">
        <v>0</v>
      </c>
      <c r="K309" s="46">
        <v>0</v>
      </c>
      <c r="L309" s="46">
        <v>0</v>
      </c>
      <c r="M309" s="46">
        <v>800</v>
      </c>
      <c r="N309" s="46">
        <v>0</v>
      </c>
    </row>
    <row r="310" spans="2:14" outlineLevel="1" x14ac:dyDescent="0.25">
      <c r="B310">
        <v>6415</v>
      </c>
      <c r="C310" s="51" t="s">
        <v>100</v>
      </c>
      <c r="D310" s="51"/>
      <c r="E310" s="46">
        <v>590.46758734104105</v>
      </c>
      <c r="F310">
        <v>2</v>
      </c>
      <c r="G310" t="s">
        <v>39</v>
      </c>
      <c r="I310" s="46">
        <v>0</v>
      </c>
      <c r="J310" s="46">
        <v>271.16758734104098</v>
      </c>
      <c r="K310" s="46">
        <v>113.5</v>
      </c>
      <c r="L310" s="46">
        <v>205.8</v>
      </c>
      <c r="M310" s="46">
        <v>0</v>
      </c>
      <c r="N310" s="46">
        <v>0</v>
      </c>
    </row>
    <row r="311" spans="2:14" outlineLevel="1" x14ac:dyDescent="0.25">
      <c r="C311" s="47" t="s">
        <v>207</v>
      </c>
      <c r="D311" s="47"/>
      <c r="E311" s="46">
        <v>34466.872712556702</v>
      </c>
      <c r="F311">
        <v>1</v>
      </c>
      <c r="G311" t="s">
        <v>34</v>
      </c>
      <c r="I311" s="46">
        <v>0</v>
      </c>
      <c r="J311" s="46">
        <v>12036.4405709167</v>
      </c>
      <c r="K311" s="46">
        <v>7839.7562500000004</v>
      </c>
      <c r="L311" s="46">
        <v>6905.8936324328297</v>
      </c>
      <c r="M311" s="46">
        <v>0</v>
      </c>
      <c r="N311" s="46">
        <v>7684.7822592071198</v>
      </c>
    </row>
    <row r="312" spans="2:14" outlineLevel="1" x14ac:dyDescent="0.25">
      <c r="C312" s="48" t="s">
        <v>208</v>
      </c>
      <c r="D312" s="48"/>
      <c r="E312" s="46">
        <v>4522.5406987283204</v>
      </c>
      <c r="F312">
        <v>2</v>
      </c>
      <c r="G312" t="s">
        <v>39</v>
      </c>
      <c r="I312" s="46">
        <v>0</v>
      </c>
      <c r="J312" s="46">
        <v>2169.3406987283201</v>
      </c>
      <c r="K312" s="46">
        <v>1767.2</v>
      </c>
      <c r="L312" s="46">
        <v>586</v>
      </c>
      <c r="M312" s="46">
        <v>0</v>
      </c>
      <c r="N312" s="46">
        <v>0</v>
      </c>
    </row>
    <row r="313" spans="2:14" outlineLevel="1" x14ac:dyDescent="0.25">
      <c r="B313">
        <v>6460</v>
      </c>
      <c r="C313" s="51" t="s">
        <v>68</v>
      </c>
      <c r="D313" s="51"/>
      <c r="E313" s="46">
        <v>3936.54069872832</v>
      </c>
      <c r="F313">
        <v>2</v>
      </c>
      <c r="G313" t="s">
        <v>39</v>
      </c>
      <c r="I313" s="46">
        <v>0</v>
      </c>
      <c r="J313" s="46">
        <v>2169.3406987283201</v>
      </c>
      <c r="K313" s="46">
        <v>1767.2</v>
      </c>
      <c r="L313" s="46">
        <v>0</v>
      </c>
      <c r="M313" s="46">
        <v>0</v>
      </c>
      <c r="N313" s="46">
        <v>0</v>
      </c>
    </row>
    <row r="314" spans="2:14" outlineLevel="1" x14ac:dyDescent="0.25">
      <c r="B314">
        <v>6480</v>
      </c>
      <c r="C314" s="51" t="s">
        <v>96</v>
      </c>
      <c r="D314" s="51"/>
      <c r="E314" s="46">
        <v>586</v>
      </c>
      <c r="F314">
        <v>1</v>
      </c>
      <c r="G314" t="s">
        <v>34</v>
      </c>
      <c r="I314" s="46">
        <v>0</v>
      </c>
      <c r="J314" s="46">
        <v>0</v>
      </c>
      <c r="K314" s="46">
        <v>0</v>
      </c>
      <c r="L314" s="46">
        <v>586</v>
      </c>
      <c r="M314" s="46">
        <v>0</v>
      </c>
      <c r="N314" s="46">
        <v>0</v>
      </c>
    </row>
    <row r="315" spans="2:14" outlineLevel="1" x14ac:dyDescent="0.25">
      <c r="C315" s="48" t="s">
        <v>209</v>
      </c>
      <c r="D315" s="48"/>
      <c r="E315" s="46">
        <v>690.57521150737603</v>
      </c>
      <c r="F315">
        <v>35</v>
      </c>
      <c r="G315" t="s">
        <v>40</v>
      </c>
      <c r="I315" s="46">
        <v>0</v>
      </c>
      <c r="J315" s="46">
        <v>231.66183705834499</v>
      </c>
      <c r="K315" s="46">
        <v>159.03125</v>
      </c>
      <c r="L315" s="46">
        <v>150.94872197940899</v>
      </c>
      <c r="M315" s="46">
        <v>0</v>
      </c>
      <c r="N315" s="46">
        <v>148.933402469622</v>
      </c>
    </row>
    <row r="316" spans="2:14" outlineLevel="1" x14ac:dyDescent="0.25">
      <c r="B316">
        <v>6004</v>
      </c>
      <c r="C316" s="51" t="s">
        <v>64</v>
      </c>
      <c r="D316" s="51"/>
      <c r="E316" s="46">
        <v>364.13334810332401</v>
      </c>
      <c r="F316">
        <v>35</v>
      </c>
      <c r="G316" t="s">
        <v>40</v>
      </c>
      <c r="I316" s="46">
        <v>0</v>
      </c>
      <c r="J316" s="46">
        <v>205.233348103324</v>
      </c>
      <c r="K316" s="46">
        <v>158.9</v>
      </c>
      <c r="L316" s="46">
        <v>0</v>
      </c>
      <c r="M316" s="46">
        <v>0</v>
      </c>
      <c r="N316" s="46">
        <v>0</v>
      </c>
    </row>
    <row r="317" spans="2:14" outlineLevel="1" x14ac:dyDescent="0.25">
      <c r="B317">
        <v>2180</v>
      </c>
      <c r="C317" s="51" t="s">
        <v>50</v>
      </c>
      <c r="D317" s="51"/>
      <c r="E317" s="46">
        <v>121.58512191</v>
      </c>
      <c r="F317">
        <v>13.50945799</v>
      </c>
      <c r="G317" t="s">
        <v>43</v>
      </c>
      <c r="I317" s="46">
        <v>0</v>
      </c>
      <c r="J317" s="46">
        <v>0</v>
      </c>
      <c r="K317" s="46">
        <v>0</v>
      </c>
      <c r="L317" s="46">
        <v>121.58512191</v>
      </c>
      <c r="M317" s="46">
        <v>0</v>
      </c>
      <c r="N317" s="46">
        <v>0</v>
      </c>
    </row>
    <row r="318" spans="2:14" outlineLevel="1" x14ac:dyDescent="0.25">
      <c r="B318">
        <v>2149</v>
      </c>
      <c r="C318" s="51" t="s">
        <v>48</v>
      </c>
      <c r="D318" s="51"/>
      <c r="E318" s="46">
        <v>66.658509819078901</v>
      </c>
      <c r="F318">
        <v>13.50945799</v>
      </c>
      <c r="G318" t="s">
        <v>43</v>
      </c>
      <c r="I318" s="46">
        <v>0</v>
      </c>
      <c r="J318" s="46">
        <v>0</v>
      </c>
      <c r="K318" s="46">
        <v>0</v>
      </c>
      <c r="L318" s="46">
        <v>0</v>
      </c>
      <c r="M318" s="46">
        <v>0</v>
      </c>
      <c r="N318" s="46">
        <v>66.658509819078901</v>
      </c>
    </row>
    <row r="319" spans="2:14" outlineLevel="1" x14ac:dyDescent="0.25">
      <c r="B319">
        <v>6490</v>
      </c>
      <c r="C319" s="51" t="s">
        <v>69</v>
      </c>
      <c r="D319" s="51"/>
      <c r="E319" s="46">
        <v>26.810684701930299</v>
      </c>
      <c r="F319">
        <v>35</v>
      </c>
      <c r="G319" t="s">
        <v>40</v>
      </c>
      <c r="I319" s="46">
        <v>0</v>
      </c>
      <c r="J319" s="46">
        <v>26.428488955021699</v>
      </c>
      <c r="K319" s="46">
        <v>0.13125000000000001</v>
      </c>
      <c r="L319" s="46">
        <v>0.25094574690858101</v>
      </c>
      <c r="M319" s="46">
        <v>0</v>
      </c>
      <c r="N319" s="46">
        <v>0</v>
      </c>
    </row>
    <row r="320" spans="2:14" outlineLevel="1" x14ac:dyDescent="0.25">
      <c r="B320">
        <v>2150</v>
      </c>
      <c r="C320" s="51" t="s">
        <v>38</v>
      </c>
      <c r="D320" s="51"/>
      <c r="E320" s="46">
        <v>82.274892650543507</v>
      </c>
      <c r="F320">
        <v>9.7042181074999903</v>
      </c>
      <c r="G320" t="s">
        <v>43</v>
      </c>
      <c r="H320" s="46"/>
      <c r="I320" s="46">
        <v>0</v>
      </c>
      <c r="J320" s="46">
        <v>0</v>
      </c>
      <c r="K320" s="46">
        <v>0</v>
      </c>
      <c r="L320" s="46">
        <v>0</v>
      </c>
      <c r="M320" s="46">
        <v>0</v>
      </c>
      <c r="N320" s="46">
        <v>82.274892650543507</v>
      </c>
    </row>
    <row r="321" spans="1:14" outlineLevel="1" x14ac:dyDescent="0.25">
      <c r="B321">
        <v>2490</v>
      </c>
      <c r="C321" s="51" t="s">
        <v>37</v>
      </c>
      <c r="D321" s="51"/>
      <c r="E321" s="46">
        <v>29.112654322499999</v>
      </c>
      <c r="F321">
        <v>9.7042181074999903</v>
      </c>
      <c r="G321" t="s">
        <v>43</v>
      </c>
      <c r="I321" s="46">
        <v>0</v>
      </c>
      <c r="J321" s="46">
        <v>0</v>
      </c>
      <c r="K321" s="46">
        <v>0</v>
      </c>
      <c r="L321" s="46">
        <v>29.112654322499999</v>
      </c>
      <c r="M321" s="46">
        <v>0</v>
      </c>
      <c r="N321" s="46">
        <v>0</v>
      </c>
    </row>
    <row r="322" spans="1:14" outlineLevel="1" x14ac:dyDescent="0.25">
      <c r="C322" s="48" t="s">
        <v>210</v>
      </c>
      <c r="D322" s="48"/>
      <c r="E322" s="46">
        <v>26628.8769114973</v>
      </c>
      <c r="F322">
        <v>1170</v>
      </c>
      <c r="G322" t="s">
        <v>40</v>
      </c>
      <c r="H322" s="46"/>
      <c r="I322" s="46">
        <v>0</v>
      </c>
      <c r="J322" s="46">
        <v>8038.6131443063596</v>
      </c>
      <c r="K322" s="46">
        <v>5317.65</v>
      </c>
      <c r="L322" s="46">
        <v>5736.7649104534203</v>
      </c>
      <c r="M322" s="46">
        <v>0</v>
      </c>
      <c r="N322" s="46">
        <v>7535.8488567374998</v>
      </c>
    </row>
    <row r="323" spans="1:14" outlineLevel="1" x14ac:dyDescent="0.25">
      <c r="B323">
        <v>6006</v>
      </c>
      <c r="C323" s="52" t="s">
        <v>65</v>
      </c>
      <c r="D323" s="52"/>
      <c r="E323" s="46">
        <v>12172.457636596801</v>
      </c>
      <c r="F323">
        <v>1170</v>
      </c>
      <c r="G323" t="s">
        <v>40</v>
      </c>
      <c r="I323" s="46">
        <v>0</v>
      </c>
      <c r="J323" s="46">
        <v>6860.6576365968203</v>
      </c>
      <c r="K323" s="46">
        <v>5311.8</v>
      </c>
      <c r="L323" s="46">
        <v>0</v>
      </c>
      <c r="M323" s="46">
        <v>0</v>
      </c>
      <c r="N323" s="46">
        <v>0</v>
      </c>
    </row>
    <row r="324" spans="1:14" outlineLevel="1" x14ac:dyDescent="0.25">
      <c r="B324">
        <v>2180</v>
      </c>
      <c r="C324" s="51" t="s">
        <v>50</v>
      </c>
      <c r="D324" s="51"/>
      <c r="E324" s="46">
        <v>4587.0934051800004</v>
      </c>
      <c r="F324">
        <v>509.67704501999998</v>
      </c>
      <c r="G324" t="s">
        <v>43</v>
      </c>
      <c r="I324" s="46">
        <v>0</v>
      </c>
      <c r="J324" s="46">
        <v>0</v>
      </c>
      <c r="K324" s="46">
        <v>0</v>
      </c>
      <c r="L324" s="46">
        <v>4587.0934051800004</v>
      </c>
      <c r="M324" s="46">
        <v>0</v>
      </c>
      <c r="N324" s="46">
        <v>0</v>
      </c>
    </row>
    <row r="325" spans="1:14" outlineLevel="1" x14ac:dyDescent="0.25">
      <c r="B325">
        <v>2149</v>
      </c>
      <c r="C325" s="51" t="s">
        <v>48</v>
      </c>
      <c r="D325" s="51"/>
      <c r="E325" s="46">
        <v>4321.1749469086999</v>
      </c>
      <c r="F325">
        <v>509.67704501999998</v>
      </c>
      <c r="G325" t="s">
        <v>43</v>
      </c>
      <c r="I325" s="46">
        <v>0</v>
      </c>
      <c r="J325" s="46">
        <v>0</v>
      </c>
      <c r="K325" s="46">
        <v>0</v>
      </c>
      <c r="L325" s="46">
        <v>0</v>
      </c>
      <c r="M325" s="46">
        <v>0</v>
      </c>
      <c r="N325" s="46">
        <v>4321.1749469086999</v>
      </c>
    </row>
    <row r="326" spans="1:14" outlineLevel="1" x14ac:dyDescent="0.25">
      <c r="B326">
        <v>6490</v>
      </c>
      <c r="C326" s="51" t="s">
        <v>69</v>
      </c>
      <c r="D326" s="51"/>
      <c r="E326" s="46">
        <v>1195.9770141204599</v>
      </c>
      <c r="F326">
        <v>1170</v>
      </c>
      <c r="G326" t="s">
        <v>40</v>
      </c>
      <c r="I326" s="46">
        <v>0</v>
      </c>
      <c r="J326" s="46">
        <v>1177.9555077095399</v>
      </c>
      <c r="K326" s="46">
        <v>5.85</v>
      </c>
      <c r="L326" s="46">
        <v>12.1715064109188</v>
      </c>
      <c r="M326" s="46">
        <v>0</v>
      </c>
      <c r="N326" s="46">
        <v>0</v>
      </c>
    </row>
    <row r="327" spans="1:14" outlineLevel="1" x14ac:dyDescent="0.25">
      <c r="B327">
        <v>2150</v>
      </c>
      <c r="C327" s="51" t="s">
        <v>38</v>
      </c>
      <c r="D327" s="51"/>
      <c r="E327" s="46">
        <v>3214.6739098287999</v>
      </c>
      <c r="F327">
        <v>379.16666628749999</v>
      </c>
      <c r="G327" t="s">
        <v>43</v>
      </c>
      <c r="I327" s="46">
        <v>0</v>
      </c>
      <c r="J327" s="46">
        <v>0</v>
      </c>
      <c r="K327" s="46">
        <v>0</v>
      </c>
      <c r="L327" s="46">
        <v>0</v>
      </c>
      <c r="M327" s="46">
        <v>0</v>
      </c>
      <c r="N327" s="46">
        <v>3214.6739098287999</v>
      </c>
    </row>
    <row r="328" spans="1:14" outlineLevel="1" x14ac:dyDescent="0.25">
      <c r="B328">
        <v>2490</v>
      </c>
      <c r="C328" s="51" t="s">
        <v>37</v>
      </c>
      <c r="D328" s="51"/>
      <c r="E328" s="46">
        <v>1137.4999988625</v>
      </c>
      <c r="F328">
        <v>379.16666628749999</v>
      </c>
      <c r="G328" t="s">
        <v>43</v>
      </c>
      <c r="I328" s="46">
        <v>0</v>
      </c>
      <c r="J328" s="46">
        <v>0</v>
      </c>
      <c r="K328" s="46">
        <v>0</v>
      </c>
      <c r="L328" s="46">
        <v>1137.4999988625</v>
      </c>
      <c r="M328" s="46">
        <v>0</v>
      </c>
      <c r="N328" s="46">
        <v>0</v>
      </c>
    </row>
    <row r="329" spans="1:14" outlineLevel="1" x14ac:dyDescent="0.25">
      <c r="C329" s="48" t="s">
        <v>211</v>
      </c>
      <c r="D329" s="48"/>
      <c r="E329" s="46">
        <v>2624.8798908237</v>
      </c>
      <c r="F329">
        <v>7</v>
      </c>
      <c r="G329" t="s">
        <v>39</v>
      </c>
      <c r="I329" s="46">
        <v>0</v>
      </c>
      <c r="J329" s="46">
        <v>1596.8248908236999</v>
      </c>
      <c r="K329" s="46">
        <v>595.875</v>
      </c>
      <c r="L329" s="46">
        <v>432.18</v>
      </c>
      <c r="M329" s="46">
        <v>0</v>
      </c>
      <c r="N329" s="46">
        <v>0</v>
      </c>
    </row>
    <row r="330" spans="1:14" outlineLevel="1" x14ac:dyDescent="0.25">
      <c r="B330">
        <v>6410</v>
      </c>
      <c r="C330" s="51" t="s">
        <v>99</v>
      </c>
      <c r="D330" s="51"/>
      <c r="E330" s="46">
        <v>846.36333513005798</v>
      </c>
      <c r="F330">
        <v>7</v>
      </c>
      <c r="G330" t="s">
        <v>39</v>
      </c>
      <c r="I330" s="46">
        <v>0</v>
      </c>
      <c r="J330" s="46">
        <v>647.73833513005798</v>
      </c>
      <c r="K330" s="46">
        <v>198.625</v>
      </c>
      <c r="L330" s="46">
        <v>0</v>
      </c>
      <c r="M330" s="46">
        <v>0</v>
      </c>
      <c r="N330" s="46">
        <v>0</v>
      </c>
    </row>
    <row r="331" spans="1:14" outlineLevel="1" x14ac:dyDescent="0.25">
      <c r="B331">
        <v>6415</v>
      </c>
      <c r="C331" s="51" t="s">
        <v>100</v>
      </c>
      <c r="D331" s="51"/>
      <c r="E331" s="46">
        <v>1778.5165556936399</v>
      </c>
      <c r="F331">
        <v>7</v>
      </c>
      <c r="G331" t="s">
        <v>39</v>
      </c>
      <c r="I331" s="46">
        <v>0</v>
      </c>
      <c r="J331" s="46">
        <v>949.08655569364203</v>
      </c>
      <c r="K331" s="46">
        <v>397.25</v>
      </c>
      <c r="L331" s="46">
        <v>432.18</v>
      </c>
      <c r="M331" s="46">
        <v>0</v>
      </c>
      <c r="N331" s="46">
        <v>0</v>
      </c>
    </row>
    <row r="332" spans="1:14" outlineLevel="1" x14ac:dyDescent="0.25">
      <c r="B332">
        <v>5490</v>
      </c>
      <c r="C332" s="47" t="s">
        <v>94</v>
      </c>
      <c r="D332" s="47"/>
      <c r="E332" s="46">
        <v>68734</v>
      </c>
      <c r="F332">
        <v>1</v>
      </c>
      <c r="G332" t="s">
        <v>34</v>
      </c>
      <c r="I332" s="46">
        <v>0</v>
      </c>
      <c r="J332" s="46">
        <v>0</v>
      </c>
      <c r="K332" s="46">
        <v>0</v>
      </c>
      <c r="L332" s="46">
        <v>68734</v>
      </c>
      <c r="M332" s="46">
        <v>0</v>
      </c>
      <c r="N332" s="46">
        <v>0</v>
      </c>
    </row>
    <row r="333" spans="1:14" outlineLevel="1" x14ac:dyDescent="0.25">
      <c r="B333">
        <v>6480</v>
      </c>
      <c r="C333" s="47" t="s">
        <v>96</v>
      </c>
      <c r="D333" s="47"/>
      <c r="E333" s="46">
        <v>226250</v>
      </c>
      <c r="F333">
        <v>1</v>
      </c>
      <c r="G333" t="s">
        <v>34</v>
      </c>
      <c r="I333" s="46">
        <v>0</v>
      </c>
      <c r="J333" s="46">
        <v>0</v>
      </c>
      <c r="K333" s="46">
        <v>0</v>
      </c>
      <c r="L333" s="46">
        <v>226250</v>
      </c>
      <c r="M333" s="46">
        <v>0</v>
      </c>
      <c r="N333" s="46">
        <v>0</v>
      </c>
    </row>
    <row r="334" spans="1:14" outlineLevel="1" x14ac:dyDescent="0.25">
      <c r="B334">
        <v>3290</v>
      </c>
      <c r="C334" s="49" t="s">
        <v>163</v>
      </c>
      <c r="D334" s="49"/>
      <c r="E334" s="46">
        <v>5000</v>
      </c>
      <c r="F334">
        <v>1</v>
      </c>
      <c r="G334" t="s">
        <v>34</v>
      </c>
      <c r="I334" s="46">
        <v>0</v>
      </c>
      <c r="J334" s="46">
        <v>0</v>
      </c>
      <c r="K334" s="46">
        <v>0</v>
      </c>
      <c r="L334" s="46">
        <v>0</v>
      </c>
      <c r="M334" s="46">
        <v>5000</v>
      </c>
      <c r="N334" s="46">
        <v>0</v>
      </c>
    </row>
    <row r="335" spans="1:14" x14ac:dyDescent="0.25">
      <c r="A335">
        <v>5</v>
      </c>
      <c r="C335" t="s">
        <v>30</v>
      </c>
      <c r="E335" s="46">
        <v>567925.57112798595</v>
      </c>
      <c r="F335">
        <v>1</v>
      </c>
      <c r="G335" t="s">
        <v>34</v>
      </c>
      <c r="H335" s="46">
        <v>748900</v>
      </c>
      <c r="I335" s="46">
        <v>0</v>
      </c>
      <c r="J335" s="46">
        <v>46606.591644451502</v>
      </c>
      <c r="K335" s="46">
        <v>64710.074666666696</v>
      </c>
      <c r="L335" s="46">
        <v>237810.002673604</v>
      </c>
      <c r="M335" s="46">
        <v>0</v>
      </c>
      <c r="N335" s="46">
        <v>218798.90214326399</v>
      </c>
    </row>
    <row r="336" spans="1:14" outlineLevel="1" x14ac:dyDescent="0.25">
      <c r="B336">
        <v>2132</v>
      </c>
      <c r="C336" s="47" t="s">
        <v>71</v>
      </c>
      <c r="D336" s="47"/>
      <c r="E336" s="46">
        <v>6872.49624551541</v>
      </c>
      <c r="F336">
        <v>1205</v>
      </c>
      <c r="G336" t="s">
        <v>42</v>
      </c>
      <c r="I336" s="46">
        <v>0</v>
      </c>
      <c r="J336" s="46">
        <v>3458.3295788487499</v>
      </c>
      <c r="K336" s="46">
        <v>3414.1666666666702</v>
      </c>
      <c r="L336" s="46">
        <v>0</v>
      </c>
      <c r="M336" s="46">
        <v>0</v>
      </c>
      <c r="N336" s="46">
        <v>0</v>
      </c>
    </row>
    <row r="337" spans="2:14" outlineLevel="1" x14ac:dyDescent="0.25">
      <c r="B337">
        <v>2133</v>
      </c>
      <c r="C337" s="47" t="s">
        <v>72</v>
      </c>
      <c r="D337" s="47"/>
      <c r="E337" s="46">
        <v>16485.362794913301</v>
      </c>
      <c r="F337">
        <v>1024</v>
      </c>
      <c r="G337" t="s">
        <v>42</v>
      </c>
      <c r="I337" s="46">
        <v>0</v>
      </c>
      <c r="J337" s="46">
        <v>8677.3627949133006</v>
      </c>
      <c r="K337" s="46">
        <v>7808</v>
      </c>
      <c r="L337" s="46">
        <v>0</v>
      </c>
      <c r="M337" s="46">
        <v>0</v>
      </c>
      <c r="N337" s="46">
        <v>0</v>
      </c>
    </row>
    <row r="338" spans="2:14" outlineLevel="1" x14ac:dyDescent="0.25">
      <c r="C338" s="47" t="s">
        <v>212</v>
      </c>
      <c r="D338" s="47"/>
      <c r="E338" s="46">
        <v>13349.768024917401</v>
      </c>
      <c r="F338">
        <v>10845</v>
      </c>
      <c r="G338" t="s">
        <v>41</v>
      </c>
      <c r="I338" s="46">
        <v>0</v>
      </c>
      <c r="J338" s="46">
        <v>2983.7437139190802</v>
      </c>
      <c r="K338" s="46">
        <v>3222.8629999999998</v>
      </c>
      <c r="L338" s="46">
        <v>4997.7374286037502</v>
      </c>
      <c r="M338" s="46">
        <v>0</v>
      </c>
      <c r="N338" s="46">
        <v>2145.4238823945698</v>
      </c>
    </row>
    <row r="339" spans="2:14" outlineLevel="1" x14ac:dyDescent="0.25">
      <c r="B339">
        <v>2152</v>
      </c>
      <c r="C339" s="48" t="s">
        <v>73</v>
      </c>
      <c r="D339" s="48"/>
      <c r="E339" s="46">
        <v>6206.60671391908</v>
      </c>
      <c r="F339">
        <v>10845</v>
      </c>
      <c r="G339" t="s">
        <v>41</v>
      </c>
      <c r="I339" s="46">
        <v>0</v>
      </c>
      <c r="J339" s="46">
        <v>2983.7437139190802</v>
      </c>
      <c r="K339" s="46">
        <v>3222.8629999999998</v>
      </c>
      <c r="L339" s="46">
        <v>0</v>
      </c>
      <c r="M339" s="46">
        <v>0</v>
      </c>
      <c r="N339" s="46">
        <v>0</v>
      </c>
    </row>
    <row r="340" spans="2:14" outlineLevel="1" x14ac:dyDescent="0.25">
      <c r="B340">
        <v>2185</v>
      </c>
      <c r="C340" s="48" t="s">
        <v>51</v>
      </c>
      <c r="D340" s="48"/>
      <c r="E340" s="46">
        <v>4997.7374286037502</v>
      </c>
      <c r="F340">
        <v>253.04999638499999</v>
      </c>
      <c r="G340" t="s">
        <v>43</v>
      </c>
      <c r="I340" s="46">
        <v>0</v>
      </c>
      <c r="J340" s="46">
        <v>0</v>
      </c>
      <c r="K340" s="46">
        <v>0</v>
      </c>
      <c r="L340" s="46">
        <v>4997.7374286037502</v>
      </c>
      <c r="M340" s="46">
        <v>0</v>
      </c>
      <c r="N340" s="46">
        <v>0</v>
      </c>
    </row>
    <row r="341" spans="2:14" outlineLevel="1" x14ac:dyDescent="0.25">
      <c r="B341">
        <v>2149</v>
      </c>
      <c r="C341" s="48" t="s">
        <v>48</v>
      </c>
      <c r="D341" s="48"/>
      <c r="E341" s="46">
        <v>2145.4238823945698</v>
      </c>
      <c r="F341">
        <v>253.04999638499999</v>
      </c>
      <c r="G341" t="s">
        <v>43</v>
      </c>
      <c r="I341" s="46">
        <v>0</v>
      </c>
      <c r="J341" s="46">
        <v>0</v>
      </c>
      <c r="K341" s="46">
        <v>0</v>
      </c>
      <c r="L341" s="46">
        <v>0</v>
      </c>
      <c r="M341" s="46">
        <v>0</v>
      </c>
      <c r="N341" s="46">
        <v>2145.4238823945698</v>
      </c>
    </row>
    <row r="342" spans="2:14" ht="30" outlineLevel="1" x14ac:dyDescent="0.25">
      <c r="C342" s="49" t="s">
        <v>213</v>
      </c>
      <c r="D342" s="49"/>
      <c r="E342" s="46">
        <v>142572.48833294801</v>
      </c>
      <c r="F342">
        <v>7015</v>
      </c>
      <c r="G342" t="s">
        <v>42</v>
      </c>
      <c r="I342" s="46">
        <v>0</v>
      </c>
      <c r="J342" s="46">
        <v>7917.4883329479799</v>
      </c>
      <c r="K342" s="46">
        <v>27600</v>
      </c>
      <c r="L342" s="46">
        <v>0</v>
      </c>
      <c r="M342" s="46">
        <v>0</v>
      </c>
      <c r="N342" s="46">
        <v>107055</v>
      </c>
    </row>
    <row r="343" spans="2:14" outlineLevel="1" x14ac:dyDescent="0.25">
      <c r="B343">
        <v>2131</v>
      </c>
      <c r="C343" s="48" t="s">
        <v>70</v>
      </c>
      <c r="D343" s="48"/>
      <c r="E343" s="46">
        <v>35517.488332948</v>
      </c>
      <c r="F343">
        <v>7015</v>
      </c>
      <c r="G343" t="s">
        <v>42</v>
      </c>
      <c r="I343" s="46">
        <v>0</v>
      </c>
      <c r="J343" s="46">
        <v>7917.4883329479799</v>
      </c>
      <c r="K343" s="46">
        <v>27600</v>
      </c>
      <c r="L343" s="46">
        <v>0</v>
      </c>
      <c r="M343" s="46">
        <v>0</v>
      </c>
      <c r="N343" s="46">
        <v>0</v>
      </c>
    </row>
    <row r="344" spans="2:14" outlineLevel="1" x14ac:dyDescent="0.25">
      <c r="B344">
        <v>2150</v>
      </c>
      <c r="C344" s="50" t="s">
        <v>38</v>
      </c>
      <c r="D344" s="50"/>
      <c r="E344" s="46">
        <v>107055</v>
      </c>
      <c r="F344">
        <v>12627</v>
      </c>
      <c r="G344" t="s">
        <v>43</v>
      </c>
      <c r="I344" s="46">
        <v>0</v>
      </c>
      <c r="J344" s="46">
        <v>0</v>
      </c>
      <c r="K344" s="46">
        <v>0</v>
      </c>
      <c r="L344" s="46">
        <v>0</v>
      </c>
      <c r="M344" s="46">
        <v>0</v>
      </c>
      <c r="N344" s="46">
        <v>107055</v>
      </c>
    </row>
    <row r="345" spans="2:14" ht="30" outlineLevel="1" x14ac:dyDescent="0.25">
      <c r="C345" s="49" t="s">
        <v>214</v>
      </c>
      <c r="D345" s="49"/>
      <c r="E345" s="46">
        <v>162027.49559113299</v>
      </c>
      <c r="F345">
        <v>4675</v>
      </c>
      <c r="G345" t="s">
        <v>42</v>
      </c>
      <c r="I345" s="46">
        <v>0</v>
      </c>
      <c r="J345" s="46">
        <v>7786.7401287420498</v>
      </c>
      <c r="K345" s="46">
        <v>9551.0249999999996</v>
      </c>
      <c r="L345" s="46">
        <v>73345.165244999997</v>
      </c>
      <c r="M345" s="46">
        <v>0</v>
      </c>
      <c r="N345" s="46">
        <v>71344.565217391297</v>
      </c>
    </row>
    <row r="346" spans="2:14" outlineLevel="1" x14ac:dyDescent="0.25">
      <c r="B346">
        <v>2129</v>
      </c>
      <c r="C346" s="50" t="s">
        <v>45</v>
      </c>
      <c r="D346" s="50"/>
      <c r="E346" s="46">
        <v>17337.765128742001</v>
      </c>
      <c r="F346">
        <v>8415</v>
      </c>
      <c r="G346" t="s">
        <v>43</v>
      </c>
      <c r="I346" s="46">
        <v>0</v>
      </c>
      <c r="J346" s="46">
        <v>7786.7401287420498</v>
      </c>
      <c r="K346" s="46">
        <v>9551.0249999999996</v>
      </c>
      <c r="L346" s="46">
        <v>0</v>
      </c>
      <c r="M346" s="46">
        <v>0</v>
      </c>
      <c r="N346" s="46">
        <v>0</v>
      </c>
    </row>
    <row r="347" spans="2:14" outlineLevel="1" x14ac:dyDescent="0.25">
      <c r="B347">
        <v>2172</v>
      </c>
      <c r="C347" s="50" t="s">
        <v>133</v>
      </c>
      <c r="D347" s="50"/>
      <c r="E347" s="46">
        <v>73345.165244999997</v>
      </c>
      <c r="F347">
        <v>8415</v>
      </c>
      <c r="G347" t="s">
        <v>43</v>
      </c>
      <c r="I347" s="46">
        <v>0</v>
      </c>
      <c r="J347" s="46">
        <v>0</v>
      </c>
      <c r="K347" s="46">
        <v>0</v>
      </c>
      <c r="L347" s="46">
        <v>73345.165244999997</v>
      </c>
      <c r="M347" s="46">
        <v>0</v>
      </c>
      <c r="N347" s="46">
        <v>0</v>
      </c>
    </row>
    <row r="348" spans="2:14" outlineLevel="1" x14ac:dyDescent="0.25">
      <c r="B348">
        <v>2149</v>
      </c>
      <c r="C348" s="48" t="s">
        <v>48</v>
      </c>
      <c r="D348" s="48"/>
      <c r="E348" s="46">
        <v>71344.565217391297</v>
      </c>
      <c r="F348">
        <v>8415</v>
      </c>
      <c r="G348" t="s">
        <v>43</v>
      </c>
      <c r="I348" s="46">
        <v>0</v>
      </c>
      <c r="J348" s="46">
        <v>0</v>
      </c>
      <c r="K348" s="46">
        <v>0</v>
      </c>
      <c r="L348" s="46">
        <v>0</v>
      </c>
      <c r="M348" s="46">
        <v>0</v>
      </c>
      <c r="N348" s="46">
        <v>71344.565217391297</v>
      </c>
    </row>
    <row r="349" spans="2:14" ht="30" outlineLevel="1" x14ac:dyDescent="0.25">
      <c r="C349" s="49" t="s">
        <v>215</v>
      </c>
      <c r="D349" s="49"/>
      <c r="E349" s="46">
        <v>191808.58887913401</v>
      </c>
      <c r="F349">
        <v>2340</v>
      </c>
      <c r="G349" t="s">
        <v>42</v>
      </c>
      <c r="I349" s="46">
        <v>0</v>
      </c>
      <c r="J349" s="46">
        <v>3897.53409652543</v>
      </c>
      <c r="K349" s="46">
        <v>4780.62</v>
      </c>
      <c r="L349" s="46">
        <v>147420</v>
      </c>
      <c r="M349" s="46">
        <v>0</v>
      </c>
      <c r="N349" s="46">
        <v>35710.434782608703</v>
      </c>
    </row>
    <row r="350" spans="2:14" outlineLevel="1" x14ac:dyDescent="0.25">
      <c r="B350">
        <v>2129</v>
      </c>
      <c r="C350" s="48" t="s">
        <v>45</v>
      </c>
      <c r="D350" s="48"/>
      <c r="E350" s="46">
        <v>8678.1540965254298</v>
      </c>
      <c r="F350">
        <v>4212</v>
      </c>
      <c r="G350" t="s">
        <v>43</v>
      </c>
      <c r="I350" s="46">
        <v>0</v>
      </c>
      <c r="J350" s="46">
        <v>3897.53409652543</v>
      </c>
      <c r="K350" s="46">
        <v>4780.62</v>
      </c>
      <c r="L350" s="46">
        <v>0</v>
      </c>
      <c r="M350" s="46">
        <v>0</v>
      </c>
      <c r="N350" s="46">
        <v>0</v>
      </c>
    </row>
    <row r="351" spans="2:14" outlineLevel="1" x14ac:dyDescent="0.25">
      <c r="B351">
        <v>2188</v>
      </c>
      <c r="C351" s="50" t="s">
        <v>216</v>
      </c>
      <c r="D351" s="50"/>
      <c r="E351" s="46">
        <v>147420</v>
      </c>
      <c r="F351">
        <v>4212</v>
      </c>
      <c r="G351" t="s">
        <v>43</v>
      </c>
      <c r="I351" s="46">
        <v>0</v>
      </c>
      <c r="J351" s="46">
        <v>0</v>
      </c>
      <c r="K351" s="46">
        <v>0</v>
      </c>
      <c r="L351" s="46">
        <v>147420</v>
      </c>
      <c r="M351" s="46">
        <v>0</v>
      </c>
      <c r="N351" s="46">
        <v>0</v>
      </c>
    </row>
    <row r="352" spans="2:14" outlineLevel="1" x14ac:dyDescent="0.25">
      <c r="B352">
        <v>2149</v>
      </c>
      <c r="C352" s="48" t="s">
        <v>48</v>
      </c>
      <c r="D352" s="48"/>
      <c r="E352" s="46">
        <v>35710.434782608703</v>
      </c>
      <c r="F352">
        <v>4212</v>
      </c>
      <c r="G352" t="s">
        <v>43</v>
      </c>
      <c r="I352" s="46">
        <v>0</v>
      </c>
      <c r="J352" s="46">
        <v>0</v>
      </c>
      <c r="K352" s="46">
        <v>0</v>
      </c>
      <c r="L352" s="46">
        <v>0</v>
      </c>
      <c r="M352" s="46">
        <v>0</v>
      </c>
      <c r="N352" s="46">
        <v>35710.434782608703</v>
      </c>
    </row>
    <row r="353" spans="1:14" outlineLevel="1" x14ac:dyDescent="0.25">
      <c r="C353" s="49" t="s">
        <v>217</v>
      </c>
      <c r="D353" s="49"/>
      <c r="E353" s="46">
        <v>10680.196971965301</v>
      </c>
      <c r="F353">
        <v>4680</v>
      </c>
      <c r="G353" t="s">
        <v>98</v>
      </c>
      <c r="I353" s="46">
        <v>0</v>
      </c>
      <c r="J353" s="46">
        <v>1593.2969719653199</v>
      </c>
      <c r="K353" s="46">
        <v>662.9</v>
      </c>
      <c r="L353" s="46">
        <v>8424</v>
      </c>
      <c r="M353" s="46">
        <v>0</v>
      </c>
      <c r="N353" s="46">
        <v>0</v>
      </c>
    </row>
    <row r="354" spans="1:14" outlineLevel="1" x14ac:dyDescent="0.25">
      <c r="B354">
        <v>2170</v>
      </c>
      <c r="C354" s="48" t="s">
        <v>103</v>
      </c>
      <c r="D354" s="48"/>
      <c r="E354" s="46">
        <v>10680.196971965301</v>
      </c>
      <c r="F354">
        <v>4680</v>
      </c>
      <c r="G354" t="s">
        <v>98</v>
      </c>
      <c r="I354" s="46">
        <v>0</v>
      </c>
      <c r="J354" s="46">
        <v>1593.2969719653199</v>
      </c>
      <c r="K354" s="46">
        <v>662.9</v>
      </c>
      <c r="L354" s="46">
        <v>8424</v>
      </c>
      <c r="M354" s="46">
        <v>0</v>
      </c>
      <c r="N354" s="46">
        <v>0</v>
      </c>
    </row>
    <row r="355" spans="1:14" outlineLevel="1" x14ac:dyDescent="0.25">
      <c r="B355">
        <v>2600</v>
      </c>
      <c r="C355" s="48" t="s">
        <v>171</v>
      </c>
      <c r="D355" s="48"/>
      <c r="E355" s="46">
        <v>13291.0379017341</v>
      </c>
      <c r="F355">
        <v>10</v>
      </c>
      <c r="G355" t="s">
        <v>132</v>
      </c>
      <c r="I355" s="46">
        <v>0</v>
      </c>
      <c r="J355" s="46">
        <v>7323.0379017341002</v>
      </c>
      <c r="K355" s="46">
        <v>5968</v>
      </c>
      <c r="L355" s="46">
        <v>0</v>
      </c>
      <c r="M355" s="46">
        <v>0</v>
      </c>
      <c r="N355" s="46">
        <v>0</v>
      </c>
    </row>
    <row r="356" spans="1:14" outlineLevel="1" x14ac:dyDescent="0.25">
      <c r="C356" s="47" t="s">
        <v>172</v>
      </c>
      <c r="D356" s="47"/>
      <c r="E356" s="46">
        <v>10838.1363857251</v>
      </c>
      <c r="F356">
        <v>15</v>
      </c>
      <c r="G356" t="s">
        <v>39</v>
      </c>
      <c r="I356" s="46">
        <v>0</v>
      </c>
      <c r="J356" s="46">
        <v>2969.05812485549</v>
      </c>
      <c r="K356" s="46">
        <v>1702.5</v>
      </c>
      <c r="L356" s="46">
        <v>3623.1</v>
      </c>
      <c r="M356" s="46">
        <v>0</v>
      </c>
      <c r="N356" s="46">
        <v>2543.47826086957</v>
      </c>
    </row>
    <row r="357" spans="1:14" outlineLevel="1" x14ac:dyDescent="0.25">
      <c r="B357">
        <v>2105</v>
      </c>
      <c r="C357" s="48" t="s">
        <v>49</v>
      </c>
      <c r="D357" s="48"/>
      <c r="E357" s="46">
        <v>4671.55812485549</v>
      </c>
      <c r="F357">
        <v>15</v>
      </c>
      <c r="G357" t="s">
        <v>39</v>
      </c>
      <c r="I357" s="46">
        <v>0</v>
      </c>
      <c r="J357" s="46">
        <v>2969.05812485549</v>
      </c>
      <c r="K357" s="46">
        <v>1702.5</v>
      </c>
      <c r="L357" s="46">
        <v>0</v>
      </c>
      <c r="M357" s="46">
        <v>0</v>
      </c>
      <c r="N357" s="46">
        <v>0</v>
      </c>
    </row>
    <row r="358" spans="1:14" outlineLevel="1" x14ac:dyDescent="0.25">
      <c r="B358">
        <v>2187</v>
      </c>
      <c r="C358" s="48" t="s">
        <v>173</v>
      </c>
      <c r="D358" s="48"/>
      <c r="E358" s="46">
        <v>3060</v>
      </c>
      <c r="F358">
        <v>15</v>
      </c>
      <c r="G358" t="s">
        <v>39</v>
      </c>
      <c r="I358" s="46">
        <v>0</v>
      </c>
      <c r="J358" s="46">
        <v>0</v>
      </c>
      <c r="K358" s="46">
        <v>0</v>
      </c>
      <c r="L358" s="46">
        <v>3060</v>
      </c>
      <c r="M358" s="46">
        <v>0</v>
      </c>
      <c r="N358" s="46">
        <v>0</v>
      </c>
    </row>
    <row r="359" spans="1:14" outlineLevel="1" x14ac:dyDescent="0.25">
      <c r="B359">
        <v>2149</v>
      </c>
      <c r="C359" s="48" t="s">
        <v>48</v>
      </c>
      <c r="D359" s="48"/>
      <c r="E359" s="46">
        <v>1271.73913043478</v>
      </c>
      <c r="F359">
        <v>15</v>
      </c>
      <c r="G359" t="s">
        <v>39</v>
      </c>
      <c r="I359" s="46">
        <v>0</v>
      </c>
      <c r="J359" s="46">
        <v>0</v>
      </c>
      <c r="K359" s="46">
        <v>0</v>
      </c>
      <c r="L359" s="46">
        <v>0</v>
      </c>
      <c r="M359" s="46">
        <v>0</v>
      </c>
      <c r="N359" s="46">
        <v>1271.73913043478</v>
      </c>
    </row>
    <row r="360" spans="1:14" outlineLevel="1" x14ac:dyDescent="0.25">
      <c r="B360">
        <v>6480</v>
      </c>
      <c r="C360" s="48" t="s">
        <v>96</v>
      </c>
      <c r="D360" s="48"/>
      <c r="E360" s="46">
        <v>113.1</v>
      </c>
      <c r="F360">
        <v>1</v>
      </c>
      <c r="G360" t="s">
        <v>34</v>
      </c>
      <c r="I360" s="46">
        <v>0</v>
      </c>
      <c r="J360" s="46">
        <v>0</v>
      </c>
      <c r="K360" s="46">
        <v>0</v>
      </c>
      <c r="L360" s="46">
        <v>113.1</v>
      </c>
      <c r="M360" s="46">
        <v>0</v>
      </c>
      <c r="N360" s="46">
        <v>0</v>
      </c>
    </row>
    <row r="361" spans="1:14" outlineLevel="1" x14ac:dyDescent="0.25">
      <c r="B361">
        <v>2150</v>
      </c>
      <c r="C361" s="48" t="s">
        <v>38</v>
      </c>
      <c r="D361" s="48"/>
      <c r="E361" s="46">
        <v>1271.73913043478</v>
      </c>
      <c r="F361">
        <v>150</v>
      </c>
      <c r="G361" t="s">
        <v>43</v>
      </c>
      <c r="I361" s="46">
        <v>0</v>
      </c>
      <c r="J361" s="46">
        <v>0</v>
      </c>
      <c r="K361" s="46">
        <v>0</v>
      </c>
      <c r="L361" s="46">
        <v>0</v>
      </c>
      <c r="M361" s="46">
        <v>0</v>
      </c>
      <c r="N361" s="46">
        <v>1271.73913043478</v>
      </c>
    </row>
    <row r="362" spans="1:14" outlineLevel="1" x14ac:dyDescent="0.25">
      <c r="B362">
        <v>2490</v>
      </c>
      <c r="C362" s="48" t="s">
        <v>37</v>
      </c>
      <c r="D362" s="48"/>
      <c r="E362" s="46">
        <v>450</v>
      </c>
      <c r="F362">
        <v>150</v>
      </c>
      <c r="G362" t="s">
        <v>43</v>
      </c>
      <c r="I362" s="46">
        <v>0</v>
      </c>
      <c r="J362" s="46">
        <v>0</v>
      </c>
      <c r="K362" s="46">
        <v>0</v>
      </c>
      <c r="L362" s="46">
        <v>450</v>
      </c>
      <c r="M362" s="46">
        <v>0</v>
      </c>
      <c r="N362" s="46">
        <v>0</v>
      </c>
    </row>
    <row r="363" spans="1:14" x14ac:dyDescent="0.25">
      <c r="A363">
        <v>6</v>
      </c>
      <c r="C363" t="s">
        <v>31</v>
      </c>
      <c r="E363" s="46">
        <v>240688.13139529701</v>
      </c>
      <c r="F363">
        <v>1</v>
      </c>
      <c r="G363" t="s">
        <v>34</v>
      </c>
      <c r="H363" s="46">
        <v>317600</v>
      </c>
      <c r="I363" s="46">
        <v>0</v>
      </c>
      <c r="J363" s="46">
        <v>98960.235701928497</v>
      </c>
      <c r="K363" s="46">
        <v>4969.4700478885698</v>
      </c>
      <c r="L363" s="46">
        <v>128412.339702895</v>
      </c>
      <c r="M363" s="46">
        <v>8346.0859425849994</v>
      </c>
      <c r="N363" s="46">
        <v>0</v>
      </c>
    </row>
    <row r="364" spans="1:14" outlineLevel="1" x14ac:dyDescent="0.25">
      <c r="C364" s="47" t="s">
        <v>218</v>
      </c>
      <c r="D364" s="47"/>
      <c r="E364" s="46">
        <v>106236.58226200999</v>
      </c>
      <c r="F364">
        <v>1</v>
      </c>
      <c r="G364" t="s">
        <v>34</v>
      </c>
      <c r="I364" s="46">
        <v>0</v>
      </c>
      <c r="J364" s="46">
        <v>41944.909252448502</v>
      </c>
      <c r="K364" s="46">
        <v>1891.9454596400001</v>
      </c>
      <c r="L364" s="46">
        <v>58622.529744846499</v>
      </c>
      <c r="M364" s="46">
        <v>3777.1978050749999</v>
      </c>
      <c r="N364" s="46">
        <v>0</v>
      </c>
    </row>
    <row r="365" spans="1:14" outlineLevel="1" x14ac:dyDescent="0.25">
      <c r="B365">
        <v>3110</v>
      </c>
      <c r="C365" s="50" t="s">
        <v>74</v>
      </c>
      <c r="D365" s="50"/>
      <c r="E365" s="46">
        <v>40233.0467894373</v>
      </c>
      <c r="F365">
        <v>89</v>
      </c>
      <c r="G365" t="s">
        <v>42</v>
      </c>
      <c r="I365" s="46">
        <v>0</v>
      </c>
      <c r="J365" s="46">
        <v>15673.3325666573</v>
      </c>
      <c r="K365" s="46">
        <v>451.78189517999999</v>
      </c>
      <c r="L365" s="46">
        <v>22507.217455599999</v>
      </c>
      <c r="M365" s="46">
        <v>1600.714872</v>
      </c>
      <c r="N365" s="46">
        <v>0</v>
      </c>
    </row>
    <row r="366" spans="1:14" outlineLevel="1" x14ac:dyDescent="0.25">
      <c r="C366" s="51" t="s">
        <v>219</v>
      </c>
      <c r="D366" s="51"/>
      <c r="E366" s="46">
        <v>19091.455494178299</v>
      </c>
      <c r="F366">
        <v>560</v>
      </c>
      <c r="G366" t="s">
        <v>40</v>
      </c>
      <c r="I366" s="46">
        <v>0</v>
      </c>
      <c r="J366" s="46">
        <v>7550.4829965783301</v>
      </c>
      <c r="K366" s="46">
        <v>212.80496160000001</v>
      </c>
      <c r="L366" s="46">
        <v>10581.501616</v>
      </c>
      <c r="M366" s="46">
        <v>746.66592000000003</v>
      </c>
      <c r="N366" s="46">
        <v>0</v>
      </c>
    </row>
    <row r="367" spans="1:14" outlineLevel="1" x14ac:dyDescent="0.25">
      <c r="C367" s="52" t="s">
        <v>220</v>
      </c>
      <c r="D367" s="52"/>
      <c r="E367" s="46">
        <v>16568.129232199</v>
      </c>
      <c r="F367">
        <v>486</v>
      </c>
      <c r="G367" t="s">
        <v>40</v>
      </c>
      <c r="I367" s="46">
        <v>0</v>
      </c>
      <c r="J367" s="46">
        <v>6552.2407584789598</v>
      </c>
      <c r="K367" s="46">
        <v>184.65736211999999</v>
      </c>
      <c r="L367" s="46">
        <v>9183.2317595999994</v>
      </c>
      <c r="M367" s="46">
        <v>647.99935200000004</v>
      </c>
      <c r="N367" s="46">
        <v>0</v>
      </c>
    </row>
    <row r="368" spans="1:14" outlineLevel="1" x14ac:dyDescent="0.25">
      <c r="C368" s="51" t="s">
        <v>221</v>
      </c>
      <c r="D368" s="51"/>
      <c r="E368" s="46">
        <v>1531.4141136497699</v>
      </c>
      <c r="F368">
        <v>31</v>
      </c>
      <c r="G368" t="s">
        <v>40</v>
      </c>
      <c r="I368" s="46">
        <v>0</v>
      </c>
      <c r="J368" s="46">
        <v>600.58326218977197</v>
      </c>
      <c r="K368" s="46">
        <v>19.577171459999999</v>
      </c>
      <c r="L368" s="46">
        <v>849.20407999999998</v>
      </c>
      <c r="M368" s="46">
        <v>62.049599999999998</v>
      </c>
      <c r="N368" s="46">
        <v>0</v>
      </c>
    </row>
    <row r="369" spans="2:14" outlineLevel="1" x14ac:dyDescent="0.25">
      <c r="C369" s="52" t="s">
        <v>222</v>
      </c>
      <c r="D369" s="52"/>
      <c r="E369" s="46">
        <v>3042.0479494102501</v>
      </c>
      <c r="F369">
        <v>4</v>
      </c>
      <c r="G369" t="s">
        <v>39</v>
      </c>
      <c r="I369" s="46">
        <v>0</v>
      </c>
      <c r="J369" s="46">
        <v>970.02554941025198</v>
      </c>
      <c r="K369" s="46">
        <v>34.742400000000004</v>
      </c>
      <c r="L369" s="46">
        <v>1893.28</v>
      </c>
      <c r="M369" s="46">
        <v>144</v>
      </c>
      <c r="N369" s="46">
        <v>0</v>
      </c>
    </row>
    <row r="370" spans="2:14" outlineLevel="1" x14ac:dyDescent="0.25">
      <c r="B370">
        <v>3120</v>
      </c>
      <c r="C370" s="48" t="s">
        <v>75</v>
      </c>
      <c r="D370" s="48"/>
      <c r="E370" s="46">
        <v>34491.346633888497</v>
      </c>
      <c r="F370">
        <v>56</v>
      </c>
      <c r="G370" t="s">
        <v>42</v>
      </c>
      <c r="I370" s="46">
        <v>0</v>
      </c>
      <c r="J370" s="46">
        <v>17422.4838777285</v>
      </c>
      <c r="K370" s="46">
        <v>566.14019615999996</v>
      </c>
      <c r="L370" s="46">
        <v>15492.07296</v>
      </c>
      <c r="M370" s="46">
        <v>1010.6496</v>
      </c>
      <c r="N370" s="46">
        <v>0</v>
      </c>
    </row>
    <row r="371" spans="2:14" outlineLevel="1" x14ac:dyDescent="0.25">
      <c r="C371" s="51" t="s">
        <v>223</v>
      </c>
      <c r="D371" s="51"/>
      <c r="E371" s="46">
        <v>923.84437652746897</v>
      </c>
      <c r="F371">
        <v>48</v>
      </c>
      <c r="G371" t="s">
        <v>40</v>
      </c>
      <c r="I371" s="46">
        <v>0</v>
      </c>
      <c r="J371" s="46">
        <v>648.25254452746901</v>
      </c>
      <c r="K371" s="46">
        <v>18.200952000000001</v>
      </c>
      <c r="L371" s="46">
        <v>242.96207999999999</v>
      </c>
      <c r="M371" s="46">
        <v>14.428800000000001</v>
      </c>
      <c r="N371" s="46">
        <v>0</v>
      </c>
    </row>
    <row r="372" spans="2:14" outlineLevel="1" x14ac:dyDescent="0.25">
      <c r="C372" s="52" t="s">
        <v>224</v>
      </c>
      <c r="D372" s="52"/>
      <c r="E372" s="46">
        <v>1854.1102968878499</v>
      </c>
      <c r="F372">
        <v>36</v>
      </c>
      <c r="G372" t="s">
        <v>40</v>
      </c>
      <c r="I372" s="46">
        <v>0</v>
      </c>
      <c r="J372" s="46">
        <v>1098.51175808785</v>
      </c>
      <c r="K372" s="46">
        <v>37.249858799999998</v>
      </c>
      <c r="L372" s="46">
        <v>678.10788000000002</v>
      </c>
      <c r="M372" s="46">
        <v>40.2408</v>
      </c>
      <c r="N372" s="46">
        <v>0</v>
      </c>
    </row>
    <row r="373" spans="2:14" outlineLevel="1" x14ac:dyDescent="0.25">
      <c r="C373" s="51" t="s">
        <v>225</v>
      </c>
      <c r="D373" s="51"/>
      <c r="E373" s="46">
        <v>12092.142635451401</v>
      </c>
      <c r="F373">
        <v>196</v>
      </c>
      <c r="G373" t="s">
        <v>40</v>
      </c>
      <c r="I373" s="46">
        <v>0</v>
      </c>
      <c r="J373" s="46">
        <v>6438.1229914514197</v>
      </c>
      <c r="K373" s="46">
        <v>216.826764</v>
      </c>
      <c r="L373" s="46">
        <v>5110.5000799999998</v>
      </c>
      <c r="M373" s="46">
        <v>326.69279999999998</v>
      </c>
      <c r="N373" s="46">
        <v>0</v>
      </c>
    </row>
    <row r="374" spans="2:14" outlineLevel="1" x14ac:dyDescent="0.25">
      <c r="C374" s="52" t="s">
        <v>226</v>
      </c>
      <c r="D374" s="52"/>
      <c r="E374" s="46">
        <v>19621.249325021701</v>
      </c>
      <c r="F374">
        <v>284</v>
      </c>
      <c r="G374" t="s">
        <v>40</v>
      </c>
      <c r="I374" s="46">
        <v>0</v>
      </c>
      <c r="J374" s="46">
        <v>9237.5965836617306</v>
      </c>
      <c r="K374" s="46">
        <v>293.86262135999999</v>
      </c>
      <c r="L374" s="46">
        <v>9460.5029200000008</v>
      </c>
      <c r="M374" s="46">
        <v>629.28719999999998</v>
      </c>
      <c r="N374" s="46">
        <v>0</v>
      </c>
    </row>
    <row r="375" spans="2:14" outlineLevel="1" x14ac:dyDescent="0.25">
      <c r="B375">
        <v>3210</v>
      </c>
      <c r="C375" s="48" t="s">
        <v>76</v>
      </c>
      <c r="D375" s="48"/>
      <c r="E375" s="46">
        <v>31512.1888386842</v>
      </c>
      <c r="F375">
        <v>6114</v>
      </c>
      <c r="G375" t="s">
        <v>41</v>
      </c>
      <c r="I375" s="46">
        <v>0</v>
      </c>
      <c r="J375" s="46">
        <v>8849.09280806272</v>
      </c>
      <c r="K375" s="46">
        <v>874.02336830000002</v>
      </c>
      <c r="L375" s="46">
        <v>20623.239329246499</v>
      </c>
      <c r="M375" s="46">
        <v>1165.8333330749999</v>
      </c>
      <c r="N375" s="46">
        <v>0</v>
      </c>
    </row>
    <row r="376" spans="2:14" outlineLevel="1" x14ac:dyDescent="0.25">
      <c r="C376" s="52" t="s">
        <v>227</v>
      </c>
      <c r="D376" s="52"/>
      <c r="E376" s="46">
        <v>30636.470064212001</v>
      </c>
      <c r="F376">
        <v>6114</v>
      </c>
      <c r="G376" t="s">
        <v>41</v>
      </c>
      <c r="I376" s="46">
        <v>0</v>
      </c>
      <c r="J376" s="46">
        <v>8607.5959914182495</v>
      </c>
      <c r="K376" s="46">
        <v>847.44191406000004</v>
      </c>
      <c r="L376" s="46">
        <v>20049.209937643798</v>
      </c>
      <c r="M376" s="46">
        <v>1132.2222210899999</v>
      </c>
      <c r="N376" s="46">
        <v>0</v>
      </c>
    </row>
    <row r="377" spans="2:14" outlineLevel="1" x14ac:dyDescent="0.25">
      <c r="C377" s="51" t="s">
        <v>228</v>
      </c>
      <c r="D377" s="51"/>
      <c r="E377" s="46">
        <v>875.71877447217196</v>
      </c>
      <c r="F377">
        <v>121</v>
      </c>
      <c r="G377" t="s">
        <v>41</v>
      </c>
      <c r="I377" s="46">
        <v>0</v>
      </c>
      <c r="J377" s="46">
        <v>241.49681664447201</v>
      </c>
      <c r="K377" s="46">
        <v>26.581454239999999</v>
      </c>
      <c r="L377" s="46">
        <v>574.0293916027</v>
      </c>
      <c r="M377" s="46">
        <v>33.611111985000001</v>
      </c>
      <c r="N377" s="46">
        <v>0</v>
      </c>
    </row>
    <row r="378" spans="2:14" outlineLevel="1" x14ac:dyDescent="0.25">
      <c r="C378" s="49" t="s">
        <v>229</v>
      </c>
      <c r="D378" s="49"/>
      <c r="E378" s="46">
        <v>48278.483361079903</v>
      </c>
      <c r="F378">
        <v>1</v>
      </c>
      <c r="G378" t="s">
        <v>34</v>
      </c>
      <c r="I378" s="46">
        <v>0</v>
      </c>
      <c r="J378" s="46">
        <v>18712.373078867698</v>
      </c>
      <c r="K378" s="46">
        <v>865.43374154857099</v>
      </c>
      <c r="L378" s="46">
        <v>26815.626378683599</v>
      </c>
      <c r="M378" s="46">
        <v>1885.05016198</v>
      </c>
      <c r="N378" s="46">
        <v>0</v>
      </c>
    </row>
    <row r="379" spans="2:14" outlineLevel="1" x14ac:dyDescent="0.25">
      <c r="B379">
        <v>3110</v>
      </c>
      <c r="C379" s="48" t="s">
        <v>74</v>
      </c>
      <c r="D379" s="48"/>
      <c r="E379" s="46">
        <v>19574.653792738802</v>
      </c>
      <c r="F379">
        <v>45</v>
      </c>
      <c r="G379" t="s">
        <v>42</v>
      </c>
      <c r="I379" s="46">
        <v>0</v>
      </c>
      <c r="J379" s="46">
        <v>7482.5332352587702</v>
      </c>
      <c r="K379" s="46">
        <v>231.79544387999999</v>
      </c>
      <c r="L379" s="46">
        <v>11058.7393216</v>
      </c>
      <c r="M379" s="46">
        <v>801.58579199999997</v>
      </c>
      <c r="N379" s="46">
        <v>0</v>
      </c>
    </row>
    <row r="380" spans="2:14" outlineLevel="1" x14ac:dyDescent="0.25">
      <c r="C380" s="52" t="s">
        <v>219</v>
      </c>
      <c r="D380" s="52"/>
      <c r="E380" s="46">
        <v>2795.5345545046798</v>
      </c>
      <c r="F380">
        <v>82</v>
      </c>
      <c r="G380" t="s">
        <v>40</v>
      </c>
      <c r="I380" s="46">
        <v>0</v>
      </c>
      <c r="J380" s="46">
        <v>1105.60643878468</v>
      </c>
      <c r="K380" s="46">
        <v>31.160726520000001</v>
      </c>
      <c r="L380" s="46">
        <v>1549.4341652000001</v>
      </c>
      <c r="M380" s="46">
        <v>109.333224</v>
      </c>
      <c r="N380" s="46">
        <v>0</v>
      </c>
    </row>
    <row r="381" spans="2:14" outlineLevel="1" x14ac:dyDescent="0.25">
      <c r="C381" s="51" t="s">
        <v>220</v>
      </c>
      <c r="D381" s="51"/>
      <c r="E381" s="46">
        <v>5931.7993547379001</v>
      </c>
      <c r="F381">
        <v>174</v>
      </c>
      <c r="G381" t="s">
        <v>40</v>
      </c>
      <c r="I381" s="46">
        <v>0</v>
      </c>
      <c r="J381" s="46">
        <v>2345.8639752579002</v>
      </c>
      <c r="K381" s="46">
        <v>66.111895079999996</v>
      </c>
      <c r="L381" s="46">
        <v>3287.8237164000002</v>
      </c>
      <c r="M381" s="46">
        <v>231.99976799999999</v>
      </c>
      <c r="N381" s="46">
        <v>0</v>
      </c>
    </row>
    <row r="382" spans="2:14" outlineLevel="1" x14ac:dyDescent="0.25">
      <c r="C382" s="52" t="s">
        <v>221</v>
      </c>
      <c r="D382" s="52"/>
      <c r="E382" s="46">
        <v>7805.2719340859303</v>
      </c>
      <c r="F382">
        <v>158</v>
      </c>
      <c r="G382" t="s">
        <v>40</v>
      </c>
      <c r="I382" s="46">
        <v>0</v>
      </c>
      <c r="J382" s="46">
        <v>3061.0372718059398</v>
      </c>
      <c r="K382" s="46">
        <v>99.780422279999996</v>
      </c>
      <c r="L382" s="46">
        <v>4328.2014399999998</v>
      </c>
      <c r="M382" s="46">
        <v>316.25279999999998</v>
      </c>
      <c r="N382" s="46">
        <v>0</v>
      </c>
    </row>
    <row r="383" spans="2:14" outlineLevel="1" x14ac:dyDescent="0.25">
      <c r="C383" s="51" t="s">
        <v>222</v>
      </c>
      <c r="D383" s="51"/>
      <c r="E383" s="46">
        <v>3042.0479494102501</v>
      </c>
      <c r="F383">
        <v>4</v>
      </c>
      <c r="G383" t="s">
        <v>39</v>
      </c>
      <c r="H383" s="46"/>
      <c r="I383" s="46">
        <v>0</v>
      </c>
      <c r="J383" s="46">
        <v>970.02554941025198</v>
      </c>
      <c r="K383" s="46">
        <v>34.742400000000004</v>
      </c>
      <c r="L383" s="46">
        <v>1893.28</v>
      </c>
      <c r="M383" s="46">
        <v>144</v>
      </c>
      <c r="N383" s="46">
        <v>0</v>
      </c>
    </row>
    <row r="384" spans="2:14" outlineLevel="1" x14ac:dyDescent="0.25">
      <c r="B384">
        <v>3120</v>
      </c>
      <c r="C384" s="48" t="s">
        <v>75</v>
      </c>
      <c r="D384" s="48"/>
      <c r="E384" s="46">
        <v>14111.9182317787</v>
      </c>
      <c r="F384">
        <v>24</v>
      </c>
      <c r="G384" t="s">
        <v>42</v>
      </c>
      <c r="I384" s="46">
        <v>0</v>
      </c>
      <c r="J384" s="46">
        <v>6883.3554588586503</v>
      </c>
      <c r="K384" s="46">
        <v>222.83399291999999</v>
      </c>
      <c r="L384" s="46">
        <v>6572.7819799999997</v>
      </c>
      <c r="M384" s="46">
        <v>432.9468</v>
      </c>
      <c r="N384" s="46">
        <v>0</v>
      </c>
    </row>
    <row r="385" spans="2:14" outlineLevel="1" x14ac:dyDescent="0.25">
      <c r="C385" s="51" t="s">
        <v>225</v>
      </c>
      <c r="D385" s="51"/>
      <c r="E385" s="46">
        <v>3886.7601328236701</v>
      </c>
      <c r="F385">
        <v>63</v>
      </c>
      <c r="G385" t="s">
        <v>40</v>
      </c>
      <c r="I385" s="46">
        <v>0</v>
      </c>
      <c r="J385" s="46">
        <v>2069.3966758236702</v>
      </c>
      <c r="K385" s="46">
        <v>69.694316999999998</v>
      </c>
      <c r="L385" s="46">
        <v>1642.66074</v>
      </c>
      <c r="M385" s="46">
        <v>105.00839999999999</v>
      </c>
      <c r="N385" s="46">
        <v>0</v>
      </c>
    </row>
    <row r="386" spans="2:14" outlineLevel="1" x14ac:dyDescent="0.25">
      <c r="C386" s="51" t="s">
        <v>226</v>
      </c>
      <c r="D386" s="51"/>
      <c r="E386" s="46">
        <v>10225.158098955</v>
      </c>
      <c r="F386">
        <v>148</v>
      </c>
      <c r="G386" t="s">
        <v>40</v>
      </c>
      <c r="I386" s="46">
        <v>0</v>
      </c>
      <c r="J386" s="46">
        <v>4813.9587830349801</v>
      </c>
      <c r="K386" s="46">
        <v>153.13967592</v>
      </c>
      <c r="L386" s="46">
        <v>4930.1212400000004</v>
      </c>
      <c r="M386" s="46">
        <v>327.9384</v>
      </c>
      <c r="N386" s="46">
        <v>0</v>
      </c>
    </row>
    <row r="387" spans="2:14" outlineLevel="1" x14ac:dyDescent="0.25">
      <c r="B387">
        <v>3210</v>
      </c>
      <c r="C387" s="48" t="s">
        <v>76</v>
      </c>
      <c r="D387" s="48"/>
      <c r="E387" s="46">
        <v>10562.917712685499</v>
      </c>
      <c r="F387">
        <v>2108</v>
      </c>
      <c r="G387" t="s">
        <v>41</v>
      </c>
      <c r="I387" s="46">
        <v>0</v>
      </c>
      <c r="J387" s="46">
        <v>2967.74817630187</v>
      </c>
      <c r="K387" s="46">
        <v>292.18311332000002</v>
      </c>
      <c r="L387" s="46">
        <v>6912.6160530835996</v>
      </c>
      <c r="M387" s="46">
        <v>390.37036998000002</v>
      </c>
      <c r="N387" s="46">
        <v>0</v>
      </c>
    </row>
    <row r="388" spans="2:14" outlineLevel="1" x14ac:dyDescent="0.25">
      <c r="B388">
        <v>3220</v>
      </c>
      <c r="C388" s="48" t="s">
        <v>77</v>
      </c>
      <c r="D388" s="48"/>
      <c r="E388" s="46">
        <v>3265.6769658653898</v>
      </c>
      <c r="F388">
        <v>528</v>
      </c>
      <c r="G388" t="s">
        <v>41</v>
      </c>
      <c r="I388" s="46">
        <v>0</v>
      </c>
      <c r="J388" s="46">
        <v>888.01548186539105</v>
      </c>
      <c r="K388" s="46">
        <v>114.71262</v>
      </c>
      <c r="L388" s="46">
        <v>2124.401664</v>
      </c>
      <c r="M388" s="46">
        <v>138.5472</v>
      </c>
      <c r="N388" s="46">
        <v>0</v>
      </c>
    </row>
    <row r="389" spans="2:14" outlineLevel="1" x14ac:dyDescent="0.25">
      <c r="B389">
        <v>3230</v>
      </c>
      <c r="C389" s="48" t="s">
        <v>78</v>
      </c>
      <c r="D389" s="48"/>
      <c r="E389" s="46">
        <v>763.316658011561</v>
      </c>
      <c r="F389">
        <v>76</v>
      </c>
      <c r="G389" t="s">
        <v>41</v>
      </c>
      <c r="I389" s="46">
        <v>0</v>
      </c>
      <c r="J389" s="46">
        <v>490.72072658298902</v>
      </c>
      <c r="K389" s="46">
        <v>3.9085714285714301</v>
      </c>
      <c r="L389" s="46">
        <v>147.08735999999999</v>
      </c>
      <c r="M389" s="46">
        <v>121.6</v>
      </c>
      <c r="N389" s="46">
        <v>0</v>
      </c>
    </row>
    <row r="390" spans="2:14" outlineLevel="1" x14ac:dyDescent="0.25">
      <c r="C390" s="47" t="s">
        <v>230</v>
      </c>
      <c r="D390" s="47"/>
      <c r="E390" s="46">
        <v>52720.010692590302</v>
      </c>
      <c r="F390">
        <v>1</v>
      </c>
      <c r="G390" t="s">
        <v>34</v>
      </c>
      <c r="I390" s="46">
        <v>0</v>
      </c>
      <c r="J390" s="46">
        <v>22598.225432663501</v>
      </c>
      <c r="K390" s="46">
        <v>879.09685402000002</v>
      </c>
      <c r="L390" s="46">
        <v>27449.289100166799</v>
      </c>
      <c r="M390" s="46">
        <v>1793.39930574</v>
      </c>
      <c r="N390" s="46">
        <v>0</v>
      </c>
    </row>
    <row r="391" spans="2:14" outlineLevel="1" x14ac:dyDescent="0.25">
      <c r="B391">
        <v>3110</v>
      </c>
      <c r="C391" s="48" t="s">
        <v>74</v>
      </c>
      <c r="D391" s="48"/>
      <c r="E391" s="46">
        <v>17017.222106040899</v>
      </c>
      <c r="F391">
        <v>38</v>
      </c>
      <c r="G391" t="s">
        <v>42</v>
      </c>
      <c r="I391" s="46">
        <v>0</v>
      </c>
      <c r="J391" s="46">
        <v>6716.02397126091</v>
      </c>
      <c r="K391" s="46">
        <v>196.54398918000001</v>
      </c>
      <c r="L391" s="46">
        <v>9433.1853136000009</v>
      </c>
      <c r="M391" s="46">
        <v>671.46883200000002</v>
      </c>
      <c r="N391" s="46">
        <v>0</v>
      </c>
    </row>
    <row r="392" spans="2:14" outlineLevel="1" x14ac:dyDescent="0.25">
      <c r="C392" s="51" t="s">
        <v>219</v>
      </c>
      <c r="D392" s="51"/>
      <c r="E392" s="46">
        <v>1329.5835076302801</v>
      </c>
      <c r="F392">
        <v>39</v>
      </c>
      <c r="G392" t="s">
        <v>40</v>
      </c>
      <c r="I392" s="46">
        <v>0</v>
      </c>
      <c r="J392" s="46">
        <v>525.83720869027604</v>
      </c>
      <c r="K392" s="46">
        <v>14.82034554</v>
      </c>
      <c r="L392" s="46">
        <v>736.92600540000001</v>
      </c>
      <c r="M392" s="46">
        <v>51.999948000000003</v>
      </c>
      <c r="N392" s="46">
        <v>0</v>
      </c>
    </row>
    <row r="393" spans="2:14" outlineLevel="1" x14ac:dyDescent="0.25">
      <c r="C393" s="51" t="s">
        <v>220</v>
      </c>
      <c r="D393" s="51"/>
      <c r="E393" s="46">
        <v>11488.5998996935</v>
      </c>
      <c r="F393">
        <v>337</v>
      </c>
      <c r="G393" t="s">
        <v>40</v>
      </c>
      <c r="I393" s="46">
        <v>0</v>
      </c>
      <c r="J393" s="46">
        <v>4543.42620495352</v>
      </c>
      <c r="K393" s="46">
        <v>128.04430253999999</v>
      </c>
      <c r="L393" s="46">
        <v>6367.7965082000001</v>
      </c>
      <c r="M393" s="46">
        <v>449.33288399999998</v>
      </c>
      <c r="N393" s="46">
        <v>0</v>
      </c>
    </row>
    <row r="394" spans="2:14" outlineLevel="1" x14ac:dyDescent="0.25">
      <c r="C394" s="51" t="s">
        <v>221</v>
      </c>
      <c r="D394" s="51"/>
      <c r="E394" s="46">
        <v>4199.0386987171196</v>
      </c>
      <c r="F394">
        <v>85</v>
      </c>
      <c r="G394" t="s">
        <v>40</v>
      </c>
      <c r="I394" s="46">
        <v>0</v>
      </c>
      <c r="J394" s="46">
        <v>1646.76055761712</v>
      </c>
      <c r="K394" s="46">
        <v>53.679341100000002</v>
      </c>
      <c r="L394" s="46">
        <v>2328.4627999999998</v>
      </c>
      <c r="M394" s="46">
        <v>170.136</v>
      </c>
      <c r="N394" s="46">
        <v>0</v>
      </c>
    </row>
    <row r="395" spans="2:14" outlineLevel="1" x14ac:dyDescent="0.25">
      <c r="B395">
        <v>3120</v>
      </c>
      <c r="C395" s="48" t="s">
        <v>75</v>
      </c>
      <c r="D395" s="48"/>
      <c r="E395" s="46">
        <v>26663.1758950482</v>
      </c>
      <c r="F395">
        <v>44</v>
      </c>
      <c r="G395" t="s">
        <v>42</v>
      </c>
      <c r="I395" s="46">
        <v>0</v>
      </c>
      <c r="J395" s="46">
        <v>13342.439739368199</v>
      </c>
      <c r="K395" s="46">
        <v>432.50621568000003</v>
      </c>
      <c r="L395" s="46">
        <v>12100.373540000001</v>
      </c>
      <c r="M395" s="46">
        <v>787.85640000000001</v>
      </c>
      <c r="N395" s="46">
        <v>0</v>
      </c>
    </row>
    <row r="396" spans="2:14" outlineLevel="1" x14ac:dyDescent="0.25">
      <c r="C396" s="51" t="s">
        <v>224</v>
      </c>
      <c r="D396" s="51"/>
      <c r="E396" s="46">
        <v>6489.2153214342798</v>
      </c>
      <c r="F396">
        <v>126</v>
      </c>
      <c r="G396" t="s">
        <v>40</v>
      </c>
      <c r="I396" s="46">
        <v>0</v>
      </c>
      <c r="J396" s="46">
        <v>3844.6291674342801</v>
      </c>
      <c r="K396" s="46">
        <v>130.36577399999999</v>
      </c>
      <c r="L396" s="46">
        <v>2373.3775799999999</v>
      </c>
      <c r="M396" s="46">
        <v>140.84280000000001</v>
      </c>
      <c r="N396" s="46">
        <v>0</v>
      </c>
    </row>
    <row r="397" spans="2:14" outlineLevel="1" x14ac:dyDescent="0.25">
      <c r="C397" s="51" t="s">
        <v>226</v>
      </c>
      <c r="D397" s="51"/>
      <c r="E397" s="46">
        <v>20173.960573613898</v>
      </c>
      <c r="F397">
        <v>292</v>
      </c>
      <c r="G397" t="s">
        <v>40</v>
      </c>
      <c r="I397" s="46">
        <v>0</v>
      </c>
      <c r="J397" s="46">
        <v>9497.8105719338801</v>
      </c>
      <c r="K397" s="46">
        <v>302.14044167999998</v>
      </c>
      <c r="L397" s="46">
        <v>9726.9959600000002</v>
      </c>
      <c r="M397" s="46">
        <v>647.0136</v>
      </c>
      <c r="N397" s="46">
        <v>0</v>
      </c>
    </row>
    <row r="398" spans="2:14" outlineLevel="1" x14ac:dyDescent="0.25">
      <c r="B398">
        <v>3210</v>
      </c>
      <c r="C398" s="48" t="s">
        <v>76</v>
      </c>
      <c r="D398" s="48"/>
      <c r="E398" s="46">
        <v>9039.6126915012301</v>
      </c>
      <c r="F398">
        <v>1804</v>
      </c>
      <c r="G398" t="s">
        <v>41</v>
      </c>
      <c r="I398" s="46">
        <v>0</v>
      </c>
      <c r="J398" s="46">
        <v>2539.76172203443</v>
      </c>
      <c r="K398" s="46">
        <v>250.04664915999999</v>
      </c>
      <c r="L398" s="46">
        <v>5915.7302465667999</v>
      </c>
      <c r="M398" s="46">
        <v>334.07407374000002</v>
      </c>
      <c r="N398" s="46">
        <v>0</v>
      </c>
    </row>
    <row r="399" spans="2:14" outlineLevel="1" x14ac:dyDescent="0.25">
      <c r="C399" s="47" t="s">
        <v>231</v>
      </c>
      <c r="D399" s="47"/>
      <c r="E399" s="46">
        <v>26669.429817188298</v>
      </c>
      <c r="F399">
        <v>1</v>
      </c>
      <c r="G399" t="s">
        <v>34</v>
      </c>
      <c r="H399" s="46"/>
      <c r="I399" s="46">
        <v>0</v>
      </c>
      <c r="J399" s="46">
        <v>13230.498762220501</v>
      </c>
      <c r="K399" s="46">
        <v>492.20927798000002</v>
      </c>
      <c r="L399" s="46">
        <v>12184.2931071978</v>
      </c>
      <c r="M399" s="46">
        <v>762.42866978999996</v>
      </c>
      <c r="N399" s="46">
        <v>0</v>
      </c>
    </row>
    <row r="400" spans="2:14" outlineLevel="1" x14ac:dyDescent="0.25">
      <c r="B400">
        <v>3110</v>
      </c>
      <c r="C400" s="48" t="s">
        <v>74</v>
      </c>
      <c r="D400" s="48"/>
      <c r="E400" s="46">
        <v>9594.3069976431907</v>
      </c>
      <c r="F400">
        <v>20</v>
      </c>
      <c r="G400" t="s">
        <v>42</v>
      </c>
      <c r="I400" s="46">
        <v>0</v>
      </c>
      <c r="J400" s="46">
        <v>4018.8145583231899</v>
      </c>
      <c r="K400" s="46">
        <v>116.51513412</v>
      </c>
      <c r="L400" s="46">
        <v>5100.3145611999998</v>
      </c>
      <c r="M400" s="46">
        <v>358.66274399999998</v>
      </c>
      <c r="N400" s="46">
        <v>0</v>
      </c>
    </row>
    <row r="401" spans="1:14" outlineLevel="1" x14ac:dyDescent="0.25">
      <c r="C401" s="51" t="s">
        <v>220</v>
      </c>
      <c r="D401" s="51"/>
      <c r="E401" s="46">
        <v>8249.97381521018</v>
      </c>
      <c r="F401">
        <v>242</v>
      </c>
      <c r="G401" t="s">
        <v>40</v>
      </c>
      <c r="I401" s="46">
        <v>0</v>
      </c>
      <c r="J401" s="46">
        <v>3262.6384023701798</v>
      </c>
      <c r="K401" s="46">
        <v>91.948727640000001</v>
      </c>
      <c r="L401" s="46">
        <v>4572.7203411999999</v>
      </c>
      <c r="M401" s="46">
        <v>322.66634399999998</v>
      </c>
      <c r="N401" s="46">
        <v>0</v>
      </c>
    </row>
    <row r="402" spans="1:14" outlineLevel="1" x14ac:dyDescent="0.25">
      <c r="C402" s="51" t="s">
        <v>232</v>
      </c>
      <c r="D402" s="51"/>
      <c r="E402" s="46">
        <v>1344.3331824330101</v>
      </c>
      <c r="F402">
        <v>6</v>
      </c>
      <c r="G402" t="s">
        <v>39</v>
      </c>
      <c r="I402" s="46">
        <v>0</v>
      </c>
      <c r="J402" s="46">
        <v>756.17615595300595</v>
      </c>
      <c r="K402" s="46">
        <v>24.566406480000001</v>
      </c>
      <c r="L402" s="46">
        <v>527.59421999999995</v>
      </c>
      <c r="M402" s="46">
        <v>35.996400000000001</v>
      </c>
      <c r="N402" s="46">
        <v>0</v>
      </c>
    </row>
    <row r="403" spans="1:14" outlineLevel="1" x14ac:dyDescent="0.25">
      <c r="B403">
        <v>3120</v>
      </c>
      <c r="C403" s="48" t="s">
        <v>75</v>
      </c>
      <c r="D403" s="48"/>
      <c r="E403" s="46">
        <v>12353.491187232001</v>
      </c>
      <c r="F403">
        <v>15</v>
      </c>
      <c r="G403" t="s">
        <v>42</v>
      </c>
      <c r="I403" s="46">
        <v>0</v>
      </c>
      <c r="J403" s="46">
        <v>7322.3114272319999</v>
      </c>
      <c r="K403" s="46">
        <v>248.31576000000001</v>
      </c>
      <c r="L403" s="46">
        <v>4515.0240000000003</v>
      </c>
      <c r="M403" s="46">
        <v>267.83999999999997</v>
      </c>
      <c r="N403" s="46">
        <v>0</v>
      </c>
    </row>
    <row r="404" spans="1:14" outlineLevel="1" x14ac:dyDescent="0.25">
      <c r="B404">
        <v>3210</v>
      </c>
      <c r="C404" s="48" t="s">
        <v>76</v>
      </c>
      <c r="D404" s="48"/>
      <c r="E404" s="46">
        <v>3677.9798866751098</v>
      </c>
      <c r="F404">
        <v>734</v>
      </c>
      <c r="G404" t="s">
        <v>41</v>
      </c>
      <c r="I404" s="46">
        <v>0</v>
      </c>
      <c r="J404" s="46">
        <v>1033.36203102731</v>
      </c>
      <c r="K404" s="46">
        <v>101.73738385999999</v>
      </c>
      <c r="L404" s="46">
        <v>2406.9545459977999</v>
      </c>
      <c r="M404" s="46">
        <v>135.92592579000001</v>
      </c>
      <c r="N404" s="46">
        <v>0</v>
      </c>
    </row>
    <row r="405" spans="1:14" outlineLevel="1" x14ac:dyDescent="0.25">
      <c r="B405">
        <v>3100</v>
      </c>
      <c r="C405" s="50" t="s">
        <v>79</v>
      </c>
      <c r="D405" s="50"/>
      <c r="E405" s="46">
        <v>1043.65174563801</v>
      </c>
      <c r="F405">
        <v>1</v>
      </c>
      <c r="G405" t="s">
        <v>34</v>
      </c>
      <c r="I405" s="46">
        <v>0</v>
      </c>
      <c r="J405" s="46">
        <v>856.01074563801103</v>
      </c>
      <c r="K405" s="46">
        <v>25.640999999999998</v>
      </c>
      <c r="L405" s="46">
        <v>162</v>
      </c>
      <c r="M405" s="46">
        <v>0</v>
      </c>
      <c r="N405" s="46">
        <v>0</v>
      </c>
    </row>
    <row r="406" spans="1:14" outlineLevel="1" x14ac:dyDescent="0.25">
      <c r="C406" s="47" t="s">
        <v>233</v>
      </c>
      <c r="D406" s="47"/>
      <c r="E406" s="46">
        <v>4209.8136374572196</v>
      </c>
      <c r="F406">
        <v>1</v>
      </c>
      <c r="G406" t="s">
        <v>34</v>
      </c>
      <c r="H406" s="46"/>
      <c r="I406" s="46">
        <v>0</v>
      </c>
      <c r="J406" s="46">
        <v>1880.4175507572199</v>
      </c>
      <c r="K406" s="46">
        <v>60.784714700000002</v>
      </c>
      <c r="L406" s="46">
        <v>2140.6013720000001</v>
      </c>
      <c r="M406" s="46">
        <v>128.01</v>
      </c>
      <c r="N406" s="46">
        <v>0</v>
      </c>
    </row>
    <row r="407" spans="1:14" outlineLevel="1" x14ac:dyDescent="0.25">
      <c r="B407">
        <v>3110</v>
      </c>
      <c r="C407" s="48" t="s">
        <v>74</v>
      </c>
      <c r="D407" s="48"/>
      <c r="E407" s="46">
        <v>1538.7329844410999</v>
      </c>
      <c r="F407">
        <v>4</v>
      </c>
      <c r="G407" t="s">
        <v>42</v>
      </c>
      <c r="I407" s="46">
        <v>0</v>
      </c>
      <c r="J407" s="46">
        <v>499.15553364110201</v>
      </c>
      <c r="K407" s="46">
        <v>12.470950800000001</v>
      </c>
      <c r="L407" s="46">
        <v>957.17650000000003</v>
      </c>
      <c r="M407" s="46">
        <v>69.930000000000007</v>
      </c>
      <c r="N407" s="46">
        <v>0</v>
      </c>
    </row>
    <row r="408" spans="1:14" outlineLevel="1" x14ac:dyDescent="0.25">
      <c r="B408">
        <v>3120</v>
      </c>
      <c r="C408" s="50" t="s">
        <v>75</v>
      </c>
      <c r="D408" s="50"/>
      <c r="E408" s="46">
        <v>1505.9754474603001</v>
      </c>
      <c r="F408">
        <v>2</v>
      </c>
      <c r="G408" t="s">
        <v>42</v>
      </c>
      <c r="I408" s="46">
        <v>0</v>
      </c>
      <c r="J408" s="46">
        <v>879.03237606030405</v>
      </c>
      <c r="K408" s="46">
        <v>29.0850714</v>
      </c>
      <c r="L408" s="46">
        <v>564.37800000000004</v>
      </c>
      <c r="M408" s="46">
        <v>33.479999999999997</v>
      </c>
      <c r="N408" s="46">
        <v>0</v>
      </c>
    </row>
    <row r="409" spans="1:14" outlineLevel="1" x14ac:dyDescent="0.25">
      <c r="B409">
        <v>3210</v>
      </c>
      <c r="C409" s="48" t="s">
        <v>76</v>
      </c>
      <c r="D409" s="48"/>
      <c r="E409" s="46">
        <v>1165.10520555582</v>
      </c>
      <c r="F409">
        <v>82</v>
      </c>
      <c r="G409" t="s">
        <v>41</v>
      </c>
      <c r="H409" s="46"/>
      <c r="I409" s="46">
        <v>0</v>
      </c>
      <c r="J409" s="46">
        <v>502.22964105581599</v>
      </c>
      <c r="K409" s="46">
        <v>19.228692500000001</v>
      </c>
      <c r="L409" s="46">
        <v>619.04687200000001</v>
      </c>
      <c r="M409" s="46">
        <v>24.6</v>
      </c>
      <c r="N409" s="46">
        <v>0</v>
      </c>
    </row>
    <row r="410" spans="1:14" outlineLevel="1" x14ac:dyDescent="0.25">
      <c r="B410">
        <v>2100</v>
      </c>
      <c r="C410" s="47" t="s">
        <v>122</v>
      </c>
      <c r="D410" s="47"/>
      <c r="E410" s="46">
        <v>2573.8116249711002</v>
      </c>
      <c r="F410">
        <v>1</v>
      </c>
      <c r="G410" t="s">
        <v>34</v>
      </c>
      <c r="I410" s="46">
        <v>0</v>
      </c>
      <c r="J410" s="46">
        <v>593.81162497109801</v>
      </c>
      <c r="K410" s="46">
        <v>780</v>
      </c>
      <c r="L410" s="46">
        <v>1200</v>
      </c>
      <c r="M410" s="46">
        <v>0</v>
      </c>
      <c r="N410" s="46">
        <v>0</v>
      </c>
    </row>
    <row r="411" spans="1:14" x14ac:dyDescent="0.25">
      <c r="A411">
        <v>7</v>
      </c>
      <c r="C411" t="s">
        <v>29</v>
      </c>
      <c r="E411" s="46">
        <v>182080.295417149</v>
      </c>
      <c r="F411">
        <v>1</v>
      </c>
      <c r="G411" t="s">
        <v>34</v>
      </c>
      <c r="H411" s="46">
        <v>261500</v>
      </c>
      <c r="I411" s="46">
        <v>0</v>
      </c>
      <c r="J411" s="46">
        <v>73227.253635135101</v>
      </c>
      <c r="K411" s="46">
        <v>64937.831416666697</v>
      </c>
      <c r="L411" s="46">
        <v>24897.964150129501</v>
      </c>
      <c r="M411" s="46">
        <v>0</v>
      </c>
      <c r="N411" s="46">
        <v>19017.246215217401</v>
      </c>
    </row>
    <row r="412" spans="1:14" outlineLevel="1" x14ac:dyDescent="0.25">
      <c r="C412" s="47" t="s">
        <v>234</v>
      </c>
      <c r="D412" s="47"/>
      <c r="E412" s="46">
        <v>26649.078382096399</v>
      </c>
      <c r="F412">
        <v>4215</v>
      </c>
      <c r="G412" t="s">
        <v>40</v>
      </c>
      <c r="I412" s="46">
        <v>0</v>
      </c>
      <c r="J412" s="46">
        <v>9143.7710451398907</v>
      </c>
      <c r="K412" s="46">
        <v>10284.6</v>
      </c>
      <c r="L412" s="46">
        <v>4093.8187499999999</v>
      </c>
      <c r="M412" s="46">
        <v>0</v>
      </c>
      <c r="N412" s="46">
        <v>3126.8885869565202</v>
      </c>
    </row>
    <row r="413" spans="1:14" outlineLevel="1" x14ac:dyDescent="0.25">
      <c r="B413">
        <v>2155</v>
      </c>
      <c r="C413" s="51" t="s">
        <v>81</v>
      </c>
      <c r="D413" s="51"/>
      <c r="E413" s="46">
        <v>19428.371045139898</v>
      </c>
      <c r="F413">
        <v>4215</v>
      </c>
      <c r="G413" t="s">
        <v>40</v>
      </c>
      <c r="I413" s="46">
        <v>0</v>
      </c>
      <c r="J413" s="46">
        <v>9143.7710451398907</v>
      </c>
      <c r="K413" s="46">
        <v>10284.6</v>
      </c>
      <c r="L413" s="46">
        <v>0</v>
      </c>
      <c r="M413" s="46">
        <v>0</v>
      </c>
      <c r="N413" s="46">
        <v>0</v>
      </c>
    </row>
    <row r="414" spans="1:14" outlineLevel="1" x14ac:dyDescent="0.25">
      <c r="B414">
        <v>2183</v>
      </c>
      <c r="C414" s="51" t="s">
        <v>80</v>
      </c>
      <c r="D414" s="51"/>
      <c r="E414" s="46">
        <v>4093.8187499999999</v>
      </c>
      <c r="F414">
        <v>368.8125</v>
      </c>
      <c r="G414" t="s">
        <v>43</v>
      </c>
      <c r="I414" s="46">
        <v>0</v>
      </c>
      <c r="J414" s="46">
        <v>0</v>
      </c>
      <c r="K414" s="46">
        <v>0</v>
      </c>
      <c r="L414" s="46">
        <v>4093.8187499999999</v>
      </c>
      <c r="M414" s="46">
        <v>0</v>
      </c>
      <c r="N414" s="46">
        <v>0</v>
      </c>
    </row>
    <row r="415" spans="1:14" outlineLevel="1" x14ac:dyDescent="0.25">
      <c r="B415">
        <v>2149</v>
      </c>
      <c r="C415" s="51" t="s">
        <v>48</v>
      </c>
      <c r="D415" s="51"/>
      <c r="E415" s="46">
        <v>3126.8885869565202</v>
      </c>
      <c r="F415">
        <v>368.8125</v>
      </c>
      <c r="G415" t="s">
        <v>43</v>
      </c>
      <c r="H415" s="46"/>
      <c r="I415" s="46">
        <v>0</v>
      </c>
      <c r="J415" s="46">
        <v>0</v>
      </c>
      <c r="K415" s="46">
        <v>0</v>
      </c>
      <c r="L415" s="46">
        <v>0</v>
      </c>
      <c r="M415" s="46">
        <v>0</v>
      </c>
      <c r="N415" s="46">
        <v>3126.8885869565202</v>
      </c>
    </row>
    <row r="416" spans="1:14" outlineLevel="1" x14ac:dyDescent="0.25">
      <c r="C416" s="47" t="s">
        <v>235</v>
      </c>
      <c r="D416" s="47"/>
      <c r="E416" s="46">
        <v>333.99971217288402</v>
      </c>
      <c r="F416">
        <v>35</v>
      </c>
      <c r="G416" t="s">
        <v>40</v>
      </c>
      <c r="I416" s="46">
        <v>0</v>
      </c>
      <c r="J416" s="46">
        <v>161.93458378251401</v>
      </c>
      <c r="K416" s="46">
        <v>140.08750000000001</v>
      </c>
      <c r="L416" s="46">
        <v>18.130000129500001</v>
      </c>
      <c r="M416" s="46">
        <v>0</v>
      </c>
      <c r="N416" s="46">
        <v>13.8476282608696</v>
      </c>
    </row>
    <row r="417" spans="2:14" outlineLevel="1" x14ac:dyDescent="0.25">
      <c r="B417">
        <v>2155</v>
      </c>
      <c r="C417" s="48" t="s">
        <v>81</v>
      </c>
      <c r="D417" s="48"/>
      <c r="E417" s="46">
        <v>302.02208378251402</v>
      </c>
      <c r="F417">
        <v>35</v>
      </c>
      <c r="G417" t="s">
        <v>40</v>
      </c>
      <c r="I417" s="46">
        <v>0</v>
      </c>
      <c r="J417" s="46">
        <v>161.93458378251401</v>
      </c>
      <c r="K417" s="46">
        <v>140.08750000000001</v>
      </c>
      <c r="L417" s="46">
        <v>0</v>
      </c>
      <c r="M417" s="46">
        <v>0</v>
      </c>
      <c r="N417" s="46">
        <v>0</v>
      </c>
    </row>
    <row r="418" spans="2:14" outlineLevel="1" x14ac:dyDescent="0.25">
      <c r="B418">
        <v>2183</v>
      </c>
      <c r="C418" s="48" t="s">
        <v>80</v>
      </c>
      <c r="D418" s="48"/>
      <c r="E418" s="46">
        <v>18.130000129500001</v>
      </c>
      <c r="F418">
        <v>1.633333345</v>
      </c>
      <c r="G418" t="s">
        <v>43</v>
      </c>
      <c r="I418" s="46">
        <v>0</v>
      </c>
      <c r="J418" s="46">
        <v>0</v>
      </c>
      <c r="K418" s="46">
        <v>0</v>
      </c>
      <c r="L418" s="46">
        <v>18.130000129500001</v>
      </c>
      <c r="M418" s="46">
        <v>0</v>
      </c>
      <c r="N418" s="46">
        <v>0</v>
      </c>
    </row>
    <row r="419" spans="2:14" outlineLevel="1" x14ac:dyDescent="0.25">
      <c r="B419">
        <v>2149</v>
      </c>
      <c r="C419" s="48" t="s">
        <v>48</v>
      </c>
      <c r="D419" s="48"/>
      <c r="E419" s="46">
        <v>13.8476282608696</v>
      </c>
      <c r="F419">
        <v>1.63331</v>
      </c>
      <c r="G419" t="s">
        <v>43</v>
      </c>
      <c r="I419" s="46">
        <v>0</v>
      </c>
      <c r="J419" s="46">
        <v>0</v>
      </c>
      <c r="K419" s="46">
        <v>0</v>
      </c>
      <c r="L419" s="46">
        <v>0</v>
      </c>
      <c r="M419" s="46">
        <v>0</v>
      </c>
      <c r="N419" s="46">
        <v>13.8476282608696</v>
      </c>
    </row>
    <row r="420" spans="2:14" outlineLevel="1" x14ac:dyDescent="0.25">
      <c r="B420">
        <v>2155</v>
      </c>
      <c r="C420" s="47" t="s">
        <v>236</v>
      </c>
      <c r="D420" s="47"/>
      <c r="E420" s="46">
        <v>4996.3081860021703</v>
      </c>
      <c r="F420">
        <v>1158</v>
      </c>
      <c r="G420" t="s">
        <v>40</v>
      </c>
      <c r="I420" s="46">
        <v>0</v>
      </c>
      <c r="J420" s="46">
        <v>2678.86068600217</v>
      </c>
      <c r="K420" s="46">
        <v>2317.4475000000002</v>
      </c>
      <c r="L420" s="46">
        <v>0</v>
      </c>
      <c r="M420" s="46">
        <v>0</v>
      </c>
      <c r="N420" s="46">
        <v>0</v>
      </c>
    </row>
    <row r="421" spans="2:14" outlineLevel="1" x14ac:dyDescent="0.25">
      <c r="B421">
        <v>2155</v>
      </c>
      <c r="C421" s="47" t="s">
        <v>237</v>
      </c>
      <c r="D421" s="47"/>
      <c r="E421" s="46">
        <v>6817.0698910910396</v>
      </c>
      <c r="F421">
        <v>1580</v>
      </c>
      <c r="G421" t="s">
        <v>40</v>
      </c>
      <c r="I421" s="46">
        <v>0</v>
      </c>
      <c r="J421" s="46">
        <v>3655.0948910910402</v>
      </c>
      <c r="K421" s="46">
        <v>3161.9749999999999</v>
      </c>
      <c r="L421" s="46">
        <v>0</v>
      </c>
      <c r="M421" s="46">
        <v>0</v>
      </c>
      <c r="N421" s="46">
        <v>0</v>
      </c>
    </row>
    <row r="422" spans="2:14" outlineLevel="1" x14ac:dyDescent="0.25">
      <c r="B422">
        <v>2155</v>
      </c>
      <c r="C422" s="47" t="s">
        <v>238</v>
      </c>
      <c r="D422" s="47"/>
      <c r="E422" s="46">
        <v>3352.4451299859102</v>
      </c>
      <c r="F422">
        <v>777</v>
      </c>
      <c r="G422" t="s">
        <v>40</v>
      </c>
      <c r="I422" s="46">
        <v>0</v>
      </c>
      <c r="J422" s="46">
        <v>1797.4738799859099</v>
      </c>
      <c r="K422" s="46">
        <v>1554.9712500000001</v>
      </c>
      <c r="L422" s="46">
        <v>0</v>
      </c>
      <c r="M422" s="46">
        <v>0</v>
      </c>
      <c r="N422" s="46">
        <v>0</v>
      </c>
    </row>
    <row r="423" spans="2:14" outlineLevel="1" x14ac:dyDescent="0.25">
      <c r="B423">
        <v>2155</v>
      </c>
      <c r="C423" s="47" t="s">
        <v>239</v>
      </c>
      <c r="D423" s="47"/>
      <c r="E423" s="46">
        <v>7516.0352849877199</v>
      </c>
      <c r="F423">
        <v>1742</v>
      </c>
      <c r="G423" t="s">
        <v>40</v>
      </c>
      <c r="I423" s="46">
        <v>0</v>
      </c>
      <c r="J423" s="46">
        <v>4029.8577849877202</v>
      </c>
      <c r="K423" s="46">
        <v>3486.1774999999998</v>
      </c>
      <c r="L423" s="46">
        <v>0</v>
      </c>
      <c r="M423" s="46">
        <v>0</v>
      </c>
      <c r="N423" s="46">
        <v>0</v>
      </c>
    </row>
    <row r="424" spans="2:14" outlineLevel="1" x14ac:dyDescent="0.25">
      <c r="C424" s="47" t="s">
        <v>240</v>
      </c>
      <c r="D424" s="47"/>
      <c r="E424" s="46">
        <v>85966.199139508695</v>
      </c>
      <c r="F424">
        <v>53700</v>
      </c>
      <c r="G424" t="s">
        <v>41</v>
      </c>
      <c r="I424" s="46">
        <v>0</v>
      </c>
      <c r="J424" s="46">
        <v>33127.1891395087</v>
      </c>
      <c r="K424" s="46">
        <v>28657.9</v>
      </c>
      <c r="L424" s="46">
        <v>13709.61</v>
      </c>
      <c r="M424" s="46">
        <v>0</v>
      </c>
      <c r="N424" s="46">
        <v>10471.5</v>
      </c>
    </row>
    <row r="425" spans="2:14" outlineLevel="1" x14ac:dyDescent="0.25">
      <c r="B425">
        <v>2156</v>
      </c>
      <c r="C425" s="48" t="s">
        <v>82</v>
      </c>
      <c r="D425" s="48"/>
      <c r="E425" s="46">
        <v>61785.089139508702</v>
      </c>
      <c r="F425">
        <v>53700</v>
      </c>
      <c r="G425" t="s">
        <v>41</v>
      </c>
      <c r="I425" s="46">
        <v>0</v>
      </c>
      <c r="J425" s="46">
        <v>33127.1891395087</v>
      </c>
      <c r="K425" s="46">
        <v>28657.9</v>
      </c>
      <c r="L425" s="46">
        <v>0</v>
      </c>
      <c r="M425" s="46">
        <v>0</v>
      </c>
      <c r="N425" s="46">
        <v>0</v>
      </c>
    </row>
    <row r="426" spans="2:14" outlineLevel="1" x14ac:dyDescent="0.25">
      <c r="B426">
        <v>2183</v>
      </c>
      <c r="C426" s="48" t="s">
        <v>80</v>
      </c>
      <c r="D426" s="48"/>
      <c r="E426" s="46">
        <v>13709.61</v>
      </c>
      <c r="F426">
        <v>1235.0999999999999</v>
      </c>
      <c r="G426" t="s">
        <v>43</v>
      </c>
      <c r="I426" s="46">
        <v>0</v>
      </c>
      <c r="J426" s="46">
        <v>0</v>
      </c>
      <c r="K426" s="46">
        <v>0</v>
      </c>
      <c r="L426" s="46">
        <v>13709.61</v>
      </c>
      <c r="M426" s="46">
        <v>0</v>
      </c>
      <c r="N426" s="46">
        <v>0</v>
      </c>
    </row>
    <row r="427" spans="2:14" outlineLevel="1" x14ac:dyDescent="0.25">
      <c r="B427">
        <v>2149</v>
      </c>
      <c r="C427" s="48" t="s">
        <v>48</v>
      </c>
      <c r="D427" s="48"/>
      <c r="E427" s="46">
        <v>10471.5</v>
      </c>
      <c r="F427">
        <v>1235.0999999999999</v>
      </c>
      <c r="G427" t="s">
        <v>43</v>
      </c>
      <c r="I427" s="46">
        <v>0</v>
      </c>
      <c r="J427" s="46">
        <v>0</v>
      </c>
      <c r="K427" s="46">
        <v>0</v>
      </c>
      <c r="L427" s="46">
        <v>0</v>
      </c>
      <c r="M427" s="46">
        <v>0</v>
      </c>
      <c r="N427" s="46">
        <v>10471.5</v>
      </c>
    </row>
    <row r="428" spans="2:14" outlineLevel="1" x14ac:dyDescent="0.25">
      <c r="C428" s="47" t="s">
        <v>241</v>
      </c>
      <c r="D428" s="47"/>
      <c r="E428" s="46">
        <v>42839.022141028901</v>
      </c>
      <c r="F428">
        <v>26760</v>
      </c>
      <c r="G428" t="s">
        <v>41</v>
      </c>
      <c r="I428" s="46">
        <v>0</v>
      </c>
      <c r="J428" s="46">
        <v>16508.074141028901</v>
      </c>
      <c r="K428" s="46">
        <v>14280.92</v>
      </c>
      <c r="L428" s="46">
        <v>6831.8280000000004</v>
      </c>
      <c r="M428" s="46">
        <v>0</v>
      </c>
      <c r="N428" s="46">
        <v>5218.2</v>
      </c>
    </row>
    <row r="429" spans="2:14" outlineLevel="1" x14ac:dyDescent="0.25">
      <c r="B429">
        <v>2156</v>
      </c>
      <c r="C429" s="48" t="s">
        <v>82</v>
      </c>
      <c r="D429" s="48"/>
      <c r="E429" s="46">
        <v>30788.994141028899</v>
      </c>
      <c r="F429">
        <v>26760</v>
      </c>
      <c r="G429" t="s">
        <v>41</v>
      </c>
      <c r="I429" s="46">
        <v>0</v>
      </c>
      <c r="J429" s="46">
        <v>16508.074141028901</v>
      </c>
      <c r="K429" s="46">
        <v>14280.92</v>
      </c>
      <c r="L429" s="46">
        <v>0</v>
      </c>
      <c r="M429" s="46">
        <v>0</v>
      </c>
      <c r="N429" s="46">
        <v>0</v>
      </c>
    </row>
    <row r="430" spans="2:14" outlineLevel="1" x14ac:dyDescent="0.25">
      <c r="B430">
        <v>2183</v>
      </c>
      <c r="C430" s="48" t="s">
        <v>80</v>
      </c>
      <c r="D430" s="48"/>
      <c r="E430" s="46">
        <v>6831.8280000000004</v>
      </c>
      <c r="F430">
        <v>615.48</v>
      </c>
      <c r="G430" t="s">
        <v>43</v>
      </c>
      <c r="I430" s="46">
        <v>0</v>
      </c>
      <c r="J430" s="46">
        <v>0</v>
      </c>
      <c r="K430" s="46">
        <v>0</v>
      </c>
      <c r="L430" s="46">
        <v>6831.8280000000004</v>
      </c>
      <c r="M430" s="46">
        <v>0</v>
      </c>
      <c r="N430" s="46">
        <v>0</v>
      </c>
    </row>
    <row r="431" spans="2:14" outlineLevel="1" x14ac:dyDescent="0.25">
      <c r="B431">
        <v>2149</v>
      </c>
      <c r="C431" s="48" t="s">
        <v>48</v>
      </c>
      <c r="D431" s="48"/>
      <c r="E431" s="46">
        <v>5218.2</v>
      </c>
      <c r="F431">
        <v>615.48</v>
      </c>
      <c r="G431" t="s">
        <v>43</v>
      </c>
      <c r="I431" s="46">
        <v>0</v>
      </c>
      <c r="J431" s="46">
        <v>0</v>
      </c>
      <c r="K431" s="46">
        <v>0</v>
      </c>
      <c r="L431" s="46">
        <v>0</v>
      </c>
      <c r="M431" s="46">
        <v>0</v>
      </c>
      <c r="N431" s="46">
        <v>5218.2</v>
      </c>
    </row>
    <row r="432" spans="2:14" outlineLevel="1" x14ac:dyDescent="0.25">
      <c r="C432" s="47" t="s">
        <v>242</v>
      </c>
      <c r="D432" s="47"/>
      <c r="E432" s="46">
        <v>1127.00566469672</v>
      </c>
      <c r="F432">
        <v>704</v>
      </c>
      <c r="G432" t="s">
        <v>41</v>
      </c>
      <c r="I432" s="46">
        <v>0</v>
      </c>
      <c r="J432" s="46">
        <v>434.29313136339101</v>
      </c>
      <c r="K432" s="46">
        <v>375.70133333333303</v>
      </c>
      <c r="L432" s="46">
        <v>179.7312</v>
      </c>
      <c r="M432" s="46">
        <v>0</v>
      </c>
      <c r="N432" s="46">
        <v>137.28</v>
      </c>
    </row>
    <row r="433" spans="1:14" outlineLevel="1" x14ac:dyDescent="0.25">
      <c r="B433">
        <v>2156</v>
      </c>
      <c r="C433" s="48" t="s">
        <v>82</v>
      </c>
      <c r="D433" s="48"/>
      <c r="E433" s="46">
        <v>809.99446469672398</v>
      </c>
      <c r="F433">
        <v>704</v>
      </c>
      <c r="G433" t="s">
        <v>41</v>
      </c>
      <c r="I433" s="46">
        <v>0</v>
      </c>
      <c r="J433" s="46">
        <v>434.29313136339101</v>
      </c>
      <c r="K433" s="46">
        <v>375.70133333333303</v>
      </c>
      <c r="L433" s="46">
        <v>0</v>
      </c>
      <c r="M433" s="46">
        <v>0</v>
      </c>
      <c r="N433" s="46">
        <v>0</v>
      </c>
    </row>
    <row r="434" spans="1:14" outlineLevel="1" x14ac:dyDescent="0.25">
      <c r="B434">
        <v>2183</v>
      </c>
      <c r="C434" s="48" t="s">
        <v>80</v>
      </c>
      <c r="D434" s="48"/>
      <c r="E434" s="46">
        <v>179.7312</v>
      </c>
      <c r="F434">
        <v>16.192</v>
      </c>
      <c r="G434" t="s">
        <v>43</v>
      </c>
      <c r="I434" s="46">
        <v>0</v>
      </c>
      <c r="J434" s="46">
        <v>0</v>
      </c>
      <c r="K434" s="46">
        <v>0</v>
      </c>
      <c r="L434" s="46">
        <v>179.7312</v>
      </c>
      <c r="M434" s="46">
        <v>0</v>
      </c>
      <c r="N434" s="46">
        <v>0</v>
      </c>
    </row>
    <row r="435" spans="1:14" outlineLevel="1" x14ac:dyDescent="0.25">
      <c r="B435">
        <v>2149</v>
      </c>
      <c r="C435" s="48" t="s">
        <v>48</v>
      </c>
      <c r="D435" s="48"/>
      <c r="E435" s="46">
        <v>137.28</v>
      </c>
      <c r="F435">
        <v>16.192</v>
      </c>
      <c r="G435" t="s">
        <v>43</v>
      </c>
      <c r="I435" s="46">
        <v>0</v>
      </c>
      <c r="J435" s="46">
        <v>0</v>
      </c>
      <c r="K435" s="46">
        <v>0</v>
      </c>
      <c r="L435" s="46">
        <v>0</v>
      </c>
      <c r="M435" s="46">
        <v>0</v>
      </c>
      <c r="N435" s="46">
        <v>137.28</v>
      </c>
    </row>
    <row r="436" spans="1:14" outlineLevel="1" x14ac:dyDescent="0.25">
      <c r="C436" s="47" t="s">
        <v>243</v>
      </c>
      <c r="D436" s="47"/>
      <c r="E436" s="46">
        <v>406.618521069557</v>
      </c>
      <c r="F436">
        <v>254</v>
      </c>
      <c r="G436" t="s">
        <v>41</v>
      </c>
      <c r="I436" s="46">
        <v>0</v>
      </c>
      <c r="J436" s="46">
        <v>156.690987736224</v>
      </c>
      <c r="K436" s="46">
        <v>135.55133333333299</v>
      </c>
      <c r="L436" s="46">
        <v>64.846199999999996</v>
      </c>
      <c r="M436" s="46">
        <v>0</v>
      </c>
      <c r="N436" s="46">
        <v>49.53</v>
      </c>
    </row>
    <row r="437" spans="1:14" outlineLevel="1" x14ac:dyDescent="0.25">
      <c r="B437">
        <v>2156</v>
      </c>
      <c r="C437" s="48" t="s">
        <v>82</v>
      </c>
      <c r="D437" s="48"/>
      <c r="E437" s="46">
        <v>292.24232106955702</v>
      </c>
      <c r="F437">
        <v>254</v>
      </c>
      <c r="G437" t="s">
        <v>41</v>
      </c>
      <c r="I437" s="46">
        <v>0</v>
      </c>
      <c r="J437" s="46">
        <v>156.690987736224</v>
      </c>
      <c r="K437" s="46">
        <v>135.55133333333299</v>
      </c>
      <c r="L437" s="46">
        <v>0</v>
      </c>
      <c r="M437" s="46">
        <v>0</v>
      </c>
      <c r="N437" s="46">
        <v>0</v>
      </c>
    </row>
    <row r="438" spans="1:14" outlineLevel="1" x14ac:dyDescent="0.25">
      <c r="B438">
        <v>2183</v>
      </c>
      <c r="C438" s="48" t="s">
        <v>80</v>
      </c>
      <c r="D438" s="48"/>
      <c r="E438" s="46">
        <v>64.846199999999996</v>
      </c>
      <c r="F438">
        <v>5.8419999999999996</v>
      </c>
      <c r="G438" t="s">
        <v>43</v>
      </c>
      <c r="I438" s="46">
        <v>0</v>
      </c>
      <c r="J438" s="46">
        <v>0</v>
      </c>
      <c r="K438" s="46">
        <v>0</v>
      </c>
      <c r="L438" s="46">
        <v>64.846199999999996</v>
      </c>
      <c r="M438" s="46">
        <v>0</v>
      </c>
      <c r="N438" s="46">
        <v>0</v>
      </c>
    </row>
    <row r="439" spans="1:14" outlineLevel="1" x14ac:dyDescent="0.25">
      <c r="B439">
        <v>2149</v>
      </c>
      <c r="C439" s="48" t="s">
        <v>48</v>
      </c>
      <c r="D439" s="48"/>
      <c r="E439" s="46">
        <v>49.53</v>
      </c>
      <c r="F439">
        <v>5.8419999999999996</v>
      </c>
      <c r="G439" t="s">
        <v>43</v>
      </c>
      <c r="I439" s="46">
        <v>0</v>
      </c>
      <c r="J439" s="46">
        <v>0</v>
      </c>
      <c r="K439" s="46">
        <v>0</v>
      </c>
      <c r="L439" s="46">
        <v>0</v>
      </c>
      <c r="M439" s="46">
        <v>0</v>
      </c>
      <c r="N439" s="46">
        <v>49.53</v>
      </c>
    </row>
    <row r="440" spans="1:14" outlineLevel="1" x14ac:dyDescent="0.25">
      <c r="B440">
        <v>2105</v>
      </c>
      <c r="C440" s="47" t="s">
        <v>244</v>
      </c>
      <c r="D440" s="47"/>
      <c r="E440" s="46">
        <v>937.78022913294797</v>
      </c>
      <c r="F440">
        <v>14</v>
      </c>
      <c r="G440" t="s">
        <v>39</v>
      </c>
      <c r="I440" s="46">
        <v>0</v>
      </c>
      <c r="J440" s="46">
        <v>692.78022913294797</v>
      </c>
      <c r="K440" s="46">
        <v>245</v>
      </c>
      <c r="L440" s="46">
        <v>0</v>
      </c>
      <c r="M440" s="46">
        <v>0</v>
      </c>
      <c r="N440" s="46">
        <v>0</v>
      </c>
    </row>
    <row r="441" spans="1:14" outlineLevel="1" x14ac:dyDescent="0.25">
      <c r="B441">
        <v>2105</v>
      </c>
      <c r="C441" s="47" t="s">
        <v>245</v>
      </c>
      <c r="D441" s="47"/>
      <c r="E441" s="46">
        <v>1071.7488332948001</v>
      </c>
      <c r="F441">
        <v>16</v>
      </c>
      <c r="G441" t="s">
        <v>39</v>
      </c>
      <c r="I441" s="46">
        <v>0</v>
      </c>
      <c r="J441" s="46">
        <v>791.74883329479803</v>
      </c>
      <c r="K441" s="46">
        <v>280</v>
      </c>
      <c r="L441" s="46">
        <v>0</v>
      </c>
      <c r="M441" s="46">
        <v>0</v>
      </c>
      <c r="N441" s="46">
        <v>0</v>
      </c>
    </row>
    <row r="442" spans="1:14" outlineLevel="1" x14ac:dyDescent="0.25">
      <c r="B442">
        <v>2105</v>
      </c>
      <c r="C442" s="47" t="s">
        <v>246</v>
      </c>
      <c r="D442" s="47"/>
      <c r="E442" s="46">
        <v>66.984302080924905</v>
      </c>
      <c r="F442">
        <v>1</v>
      </c>
      <c r="G442" t="s">
        <v>39</v>
      </c>
      <c r="I442" s="46">
        <v>0</v>
      </c>
      <c r="J442" s="46">
        <v>49.484302080924898</v>
      </c>
      <c r="K442" s="46">
        <v>17.5</v>
      </c>
      <c r="L442" s="46">
        <v>0</v>
      </c>
      <c r="M442" s="46">
        <v>0</v>
      </c>
      <c r="N442" s="46">
        <v>0</v>
      </c>
    </row>
    <row r="443" spans="1:14" x14ac:dyDescent="0.25">
      <c r="A443">
        <v>8</v>
      </c>
      <c r="C443" t="s">
        <v>88</v>
      </c>
      <c r="E443" s="46">
        <v>1026056.55002091</v>
      </c>
      <c r="F443">
        <v>1</v>
      </c>
      <c r="G443" t="s">
        <v>34</v>
      </c>
      <c r="H443" s="46">
        <v>1367500</v>
      </c>
      <c r="I443" s="46">
        <v>0</v>
      </c>
      <c r="J443" s="46">
        <v>461280.27343697101</v>
      </c>
      <c r="K443" s="46">
        <v>9931.10171954</v>
      </c>
      <c r="L443" s="46">
        <v>547854.0365404</v>
      </c>
      <c r="M443" s="46">
        <v>6991.1383239999996</v>
      </c>
      <c r="N443" s="46">
        <v>0</v>
      </c>
    </row>
    <row r="444" spans="1:14" outlineLevel="1" x14ac:dyDescent="0.25">
      <c r="B444">
        <v>3251</v>
      </c>
      <c r="C444" s="47" t="s">
        <v>247</v>
      </c>
      <c r="D444" s="47"/>
      <c r="E444" s="46">
        <v>85070.892844477596</v>
      </c>
      <c r="F444">
        <v>4215</v>
      </c>
      <c r="G444" t="s">
        <v>40</v>
      </c>
      <c r="I444" s="46">
        <v>0</v>
      </c>
      <c r="J444" s="46">
        <v>23641.785987277599</v>
      </c>
      <c r="K444" s="46">
        <v>4757.6225771999998</v>
      </c>
      <c r="L444" s="46">
        <v>56671.484279999997</v>
      </c>
      <c r="M444" s="46">
        <v>0</v>
      </c>
      <c r="N444" s="46">
        <v>0</v>
      </c>
    </row>
    <row r="445" spans="1:14" outlineLevel="1" x14ac:dyDescent="0.25">
      <c r="B445">
        <v>3251</v>
      </c>
      <c r="C445" s="47" t="s">
        <v>248</v>
      </c>
      <c r="D445" s="47"/>
      <c r="E445" s="46">
        <v>598.19764118497096</v>
      </c>
      <c r="F445">
        <v>35</v>
      </c>
      <c r="G445" t="s">
        <v>40</v>
      </c>
      <c r="I445" s="46">
        <v>0</v>
      </c>
      <c r="J445" s="46">
        <v>371.18008118497102</v>
      </c>
      <c r="K445" s="46">
        <v>0</v>
      </c>
      <c r="L445" s="46">
        <v>227.01756</v>
      </c>
      <c r="M445" s="46">
        <v>0</v>
      </c>
      <c r="N445" s="46">
        <v>0</v>
      </c>
    </row>
    <row r="446" spans="1:14" outlineLevel="1" x14ac:dyDescent="0.25">
      <c r="B446">
        <v>3251</v>
      </c>
      <c r="C446" s="47" t="s">
        <v>249</v>
      </c>
      <c r="D446" s="47"/>
      <c r="E446" s="46">
        <v>20578.741517379902</v>
      </c>
      <c r="F446">
        <v>1158</v>
      </c>
      <c r="G446" t="s">
        <v>40</v>
      </c>
      <c r="I446" s="46">
        <v>0</v>
      </c>
      <c r="J446" s="46">
        <v>14327.5511337399</v>
      </c>
      <c r="K446" s="46">
        <v>0</v>
      </c>
      <c r="L446" s="46">
        <v>6251.1903836399997</v>
      </c>
      <c r="M446" s="46">
        <v>0</v>
      </c>
      <c r="N446" s="46">
        <v>0</v>
      </c>
    </row>
    <row r="447" spans="1:14" outlineLevel="1" x14ac:dyDescent="0.25">
      <c r="B447">
        <v>3251</v>
      </c>
      <c r="C447" s="47" t="s">
        <v>250</v>
      </c>
      <c r="D447" s="47"/>
      <c r="E447" s="46">
        <v>44657.714978225398</v>
      </c>
      <c r="F447">
        <v>2318</v>
      </c>
      <c r="G447" t="s">
        <v>40</v>
      </c>
      <c r="I447" s="46">
        <v>0</v>
      </c>
      <c r="J447" s="46">
        <v>28679.847606225401</v>
      </c>
      <c r="K447" s="46">
        <v>0</v>
      </c>
      <c r="L447" s="46">
        <v>15977.867372000001</v>
      </c>
      <c r="M447" s="46">
        <v>0</v>
      </c>
      <c r="N447" s="46">
        <v>0</v>
      </c>
    </row>
    <row r="448" spans="1:14" outlineLevel="1" x14ac:dyDescent="0.25">
      <c r="B448">
        <v>3251</v>
      </c>
      <c r="C448" s="47" t="s">
        <v>251</v>
      </c>
      <c r="D448" s="47"/>
      <c r="E448" s="46">
        <v>17124.807217080899</v>
      </c>
      <c r="F448">
        <v>770</v>
      </c>
      <c r="G448" t="s">
        <v>40</v>
      </c>
      <c r="I448" s="46">
        <v>0</v>
      </c>
      <c r="J448" s="46">
        <v>9526.9554170809297</v>
      </c>
      <c r="K448" s="46">
        <v>0</v>
      </c>
      <c r="L448" s="46">
        <v>7597.8518000000004</v>
      </c>
      <c r="M448" s="46">
        <v>0</v>
      </c>
      <c r="N448" s="46">
        <v>0</v>
      </c>
    </row>
    <row r="449" spans="2:14" outlineLevel="1" x14ac:dyDescent="0.25">
      <c r="B449">
        <v>3251</v>
      </c>
      <c r="C449" s="47" t="s">
        <v>252</v>
      </c>
      <c r="D449" s="47"/>
      <c r="E449" s="46">
        <v>34526.332768135799</v>
      </c>
      <c r="F449">
        <v>1725</v>
      </c>
      <c r="G449" t="s">
        <v>40</v>
      </c>
      <c r="I449" s="46">
        <v>0</v>
      </c>
      <c r="J449" s="46">
        <v>21342.854668135798</v>
      </c>
      <c r="K449" s="46">
        <v>0</v>
      </c>
      <c r="L449" s="46">
        <v>13183.4781</v>
      </c>
      <c r="M449" s="46">
        <v>0</v>
      </c>
      <c r="N449" s="46">
        <v>0</v>
      </c>
    </row>
    <row r="450" spans="2:14" outlineLevel="1" x14ac:dyDescent="0.25">
      <c r="B450">
        <v>3254</v>
      </c>
      <c r="C450" s="47" t="s">
        <v>253</v>
      </c>
      <c r="D450" s="47"/>
      <c r="E450" s="46">
        <v>309399.62318388699</v>
      </c>
      <c r="F450">
        <v>53250</v>
      </c>
      <c r="G450" t="s">
        <v>41</v>
      </c>
      <c r="I450" s="46">
        <v>0</v>
      </c>
      <c r="J450" s="46">
        <v>109807.44068388701</v>
      </c>
      <c r="K450" s="46">
        <v>0</v>
      </c>
      <c r="L450" s="46">
        <v>199592.1825</v>
      </c>
      <c r="M450" s="46">
        <v>0</v>
      </c>
      <c r="N450" s="46">
        <v>0</v>
      </c>
    </row>
    <row r="451" spans="2:14" outlineLevel="1" x14ac:dyDescent="0.25">
      <c r="B451">
        <v>3254</v>
      </c>
      <c r="C451" s="47" t="s">
        <v>254</v>
      </c>
      <c r="D451" s="47"/>
      <c r="E451" s="46">
        <v>185251.279722832</v>
      </c>
      <c r="F451">
        <v>26760</v>
      </c>
      <c r="G451" t="s">
        <v>41</v>
      </c>
      <c r="I451" s="46">
        <v>0</v>
      </c>
      <c r="J451" s="46">
        <v>55182.1054028324</v>
      </c>
      <c r="K451" s="46">
        <v>0</v>
      </c>
      <c r="L451" s="46">
        <v>130069.17432000001</v>
      </c>
      <c r="M451" s="46">
        <v>0</v>
      </c>
      <c r="N451" s="46">
        <v>0</v>
      </c>
    </row>
    <row r="452" spans="2:14" outlineLevel="1" x14ac:dyDescent="0.25">
      <c r="B452">
        <v>3254</v>
      </c>
      <c r="C452" s="47" t="s">
        <v>255</v>
      </c>
      <c r="D452" s="47"/>
      <c r="E452" s="46">
        <v>7598.3718796947996</v>
      </c>
      <c r="F452">
        <v>704</v>
      </c>
      <c r="G452" t="s">
        <v>41</v>
      </c>
      <c r="I452" s="46">
        <v>0</v>
      </c>
      <c r="J452" s="46">
        <v>1742.0718476948</v>
      </c>
      <c r="K452" s="46">
        <v>0</v>
      </c>
      <c r="L452" s="46">
        <v>5856.3000320000001</v>
      </c>
      <c r="M452" s="46">
        <v>0</v>
      </c>
      <c r="N452" s="46">
        <v>0</v>
      </c>
    </row>
    <row r="453" spans="2:14" outlineLevel="1" x14ac:dyDescent="0.25">
      <c r="B453">
        <v>3251</v>
      </c>
      <c r="C453" s="47" t="s">
        <v>256</v>
      </c>
      <c r="D453" s="47"/>
      <c r="E453" s="46">
        <v>1140.8953893526</v>
      </c>
      <c r="F453">
        <v>68</v>
      </c>
      <c r="G453" t="s">
        <v>40</v>
      </c>
      <c r="I453" s="46">
        <v>0</v>
      </c>
      <c r="J453" s="46">
        <v>841.34151735260104</v>
      </c>
      <c r="K453" s="46">
        <v>0</v>
      </c>
      <c r="L453" s="46">
        <v>299.55387200000001</v>
      </c>
      <c r="M453" s="46">
        <v>0</v>
      </c>
      <c r="N453" s="46">
        <v>0</v>
      </c>
    </row>
    <row r="454" spans="2:14" outlineLevel="1" x14ac:dyDescent="0.25">
      <c r="B454">
        <v>3251</v>
      </c>
      <c r="C454" s="47" t="s">
        <v>257</v>
      </c>
      <c r="D454" s="47"/>
      <c r="E454" s="46">
        <v>905.33894425144501</v>
      </c>
      <c r="F454">
        <v>57</v>
      </c>
      <c r="G454" t="s">
        <v>40</v>
      </c>
      <c r="I454" s="46">
        <v>0</v>
      </c>
      <c r="J454" s="46">
        <v>705.24215425144496</v>
      </c>
      <c r="K454" s="46">
        <v>0</v>
      </c>
      <c r="L454" s="46">
        <v>200.09679</v>
      </c>
      <c r="M454" s="46">
        <v>0</v>
      </c>
      <c r="N454" s="46">
        <v>0</v>
      </c>
    </row>
    <row r="455" spans="2:14" outlineLevel="1" x14ac:dyDescent="0.25">
      <c r="B455">
        <v>3135</v>
      </c>
      <c r="C455" s="47" t="s">
        <v>258</v>
      </c>
      <c r="D455" s="47"/>
      <c r="E455" s="46">
        <v>5594.3150365895999</v>
      </c>
      <c r="F455">
        <v>14</v>
      </c>
      <c r="G455" t="s">
        <v>39</v>
      </c>
      <c r="I455" s="46">
        <v>0</v>
      </c>
      <c r="J455" s="46">
        <v>5196.5211365896002</v>
      </c>
      <c r="K455" s="46">
        <v>0</v>
      </c>
      <c r="L455" s="46">
        <v>397.79390000000001</v>
      </c>
      <c r="M455" s="46">
        <v>0</v>
      </c>
      <c r="N455" s="46">
        <v>0</v>
      </c>
    </row>
    <row r="456" spans="2:14" outlineLevel="1" x14ac:dyDescent="0.25">
      <c r="B456">
        <v>3135</v>
      </c>
      <c r="C456" s="47" t="s">
        <v>259</v>
      </c>
      <c r="D456" s="47"/>
      <c r="E456" s="46">
        <v>6052.63342695954</v>
      </c>
      <c r="F456">
        <v>16</v>
      </c>
      <c r="G456" t="s">
        <v>39</v>
      </c>
      <c r="I456" s="46">
        <v>0</v>
      </c>
      <c r="J456" s="46">
        <v>5938.8812989595399</v>
      </c>
      <c r="K456" s="46">
        <v>0</v>
      </c>
      <c r="L456" s="46">
        <v>113.752128</v>
      </c>
      <c r="M456" s="46">
        <v>0</v>
      </c>
      <c r="N456" s="46">
        <v>0</v>
      </c>
    </row>
    <row r="457" spans="2:14" outlineLevel="1" x14ac:dyDescent="0.25">
      <c r="B457">
        <v>3135</v>
      </c>
      <c r="C457" s="47" t="s">
        <v>260</v>
      </c>
      <c r="D457" s="47"/>
      <c r="E457" s="46">
        <v>400.198481184971</v>
      </c>
      <c r="F457">
        <v>1</v>
      </c>
      <c r="G457" t="s">
        <v>39</v>
      </c>
      <c r="I457" s="46">
        <v>0</v>
      </c>
      <c r="J457" s="46">
        <v>371.18008118497102</v>
      </c>
      <c r="K457" s="46">
        <v>0</v>
      </c>
      <c r="L457" s="46">
        <v>29.0184</v>
      </c>
      <c r="M457" s="46">
        <v>0</v>
      </c>
      <c r="N457" s="46">
        <v>0</v>
      </c>
    </row>
    <row r="458" spans="2:14" outlineLevel="1" x14ac:dyDescent="0.25">
      <c r="B458">
        <v>3230</v>
      </c>
      <c r="C458" s="47" t="s">
        <v>261</v>
      </c>
      <c r="D458" s="47"/>
      <c r="E458" s="46">
        <v>188657.77118917301</v>
      </c>
      <c r="F458">
        <v>5394</v>
      </c>
      <c r="G458" t="s">
        <v>41</v>
      </c>
      <c r="I458" s="46">
        <v>0</v>
      </c>
      <c r="J458" s="46">
        <v>119339.05354441299</v>
      </c>
      <c r="K458" s="46">
        <v>1036.6836479999999</v>
      </c>
      <c r="L458" s="46">
        <v>63786.965672760001</v>
      </c>
      <c r="M458" s="46">
        <v>4495.0683239999998</v>
      </c>
      <c r="N458" s="46">
        <v>0</v>
      </c>
    </row>
    <row r="459" spans="2:14" outlineLevel="1" x14ac:dyDescent="0.25">
      <c r="B459">
        <v>3260</v>
      </c>
      <c r="C459" s="47" t="s">
        <v>85</v>
      </c>
      <c r="D459" s="47"/>
      <c r="E459" s="46">
        <v>23891.624838945099</v>
      </c>
      <c r="F459">
        <v>26</v>
      </c>
      <c r="G459" t="s">
        <v>39</v>
      </c>
      <c r="I459" s="46">
        <v>0</v>
      </c>
      <c r="J459" s="46">
        <v>15571.624838945099</v>
      </c>
      <c r="K459" s="46">
        <v>0</v>
      </c>
      <c r="L459" s="46">
        <v>8320</v>
      </c>
      <c r="M459" s="46">
        <v>0</v>
      </c>
      <c r="N459" s="46">
        <v>0</v>
      </c>
    </row>
    <row r="460" spans="2:14" outlineLevel="1" x14ac:dyDescent="0.25">
      <c r="C460" s="47" t="s">
        <v>262</v>
      </c>
      <c r="D460" s="47"/>
      <c r="E460" s="46">
        <v>86886.376086642704</v>
      </c>
      <c r="F460">
        <v>1</v>
      </c>
      <c r="G460" t="s">
        <v>34</v>
      </c>
      <c r="I460" s="46">
        <v>0</v>
      </c>
      <c r="J460" s="46">
        <v>46913.201162302699</v>
      </c>
      <c r="K460" s="46">
        <v>1796.79549434</v>
      </c>
      <c r="L460" s="46">
        <v>35680.309430000001</v>
      </c>
      <c r="M460" s="46">
        <v>2496.0700000000002</v>
      </c>
      <c r="N460" s="46">
        <v>0</v>
      </c>
    </row>
    <row r="461" spans="2:14" outlineLevel="1" x14ac:dyDescent="0.25">
      <c r="B461">
        <v>3110</v>
      </c>
      <c r="C461" s="48" t="s">
        <v>74</v>
      </c>
      <c r="D461" s="48"/>
      <c r="E461" s="46">
        <v>14805.465579695699</v>
      </c>
      <c r="F461">
        <v>29</v>
      </c>
      <c r="G461" t="s">
        <v>42</v>
      </c>
      <c r="I461" s="46">
        <v>0</v>
      </c>
      <c r="J461" s="46">
        <v>6805.3540311956904</v>
      </c>
      <c r="K461" s="46">
        <v>208.17184850000001</v>
      </c>
      <c r="L461" s="46">
        <v>7142.9396999999999</v>
      </c>
      <c r="M461" s="46">
        <v>649</v>
      </c>
      <c r="N461" s="46">
        <v>0</v>
      </c>
    </row>
    <row r="462" spans="2:14" outlineLevel="1" x14ac:dyDescent="0.25">
      <c r="C462" s="51" t="s">
        <v>263</v>
      </c>
      <c r="D462" s="51"/>
      <c r="E462" s="46">
        <v>10655.4847308591</v>
      </c>
      <c r="F462">
        <v>230</v>
      </c>
      <c r="G462" t="s">
        <v>40</v>
      </c>
      <c r="I462" s="46">
        <v>0</v>
      </c>
      <c r="J462" s="46">
        <v>4660.0425308591102</v>
      </c>
      <c r="K462" s="46">
        <v>141.68</v>
      </c>
      <c r="L462" s="46">
        <v>5321.3122000000003</v>
      </c>
      <c r="M462" s="46">
        <v>532.45000000000005</v>
      </c>
      <c r="N462" s="46">
        <v>0</v>
      </c>
    </row>
    <row r="463" spans="2:14" outlineLevel="1" x14ac:dyDescent="0.25">
      <c r="C463" s="51" t="s">
        <v>264</v>
      </c>
      <c r="D463" s="51"/>
      <c r="E463" s="46">
        <v>4149.9808488365697</v>
      </c>
      <c r="F463">
        <v>175</v>
      </c>
      <c r="G463" t="s">
        <v>40</v>
      </c>
      <c r="I463" s="46">
        <v>0</v>
      </c>
      <c r="J463" s="46">
        <v>2145.3115003365701</v>
      </c>
      <c r="K463" s="46">
        <v>66.491848500000003</v>
      </c>
      <c r="L463" s="46">
        <v>1821.6275000000001</v>
      </c>
      <c r="M463" s="46">
        <v>116.55</v>
      </c>
      <c r="N463" s="46">
        <v>0</v>
      </c>
    </row>
    <row r="464" spans="2:14" outlineLevel="1" x14ac:dyDescent="0.25">
      <c r="B464">
        <v>3120</v>
      </c>
      <c r="C464" s="48" t="s">
        <v>75</v>
      </c>
      <c r="D464" s="48"/>
      <c r="E464" s="46">
        <v>72080.910506946995</v>
      </c>
      <c r="F464">
        <v>85</v>
      </c>
      <c r="G464" t="s">
        <v>42</v>
      </c>
      <c r="I464" s="46">
        <v>0</v>
      </c>
      <c r="J464" s="46">
        <v>40107.847131107002</v>
      </c>
      <c r="K464" s="46">
        <v>1588.6236458400001</v>
      </c>
      <c r="L464" s="46">
        <v>28537.369729999999</v>
      </c>
      <c r="M464" s="46">
        <v>1847.07</v>
      </c>
      <c r="N464" s="46">
        <v>0</v>
      </c>
    </row>
    <row r="465" spans="1:14" outlineLevel="1" x14ac:dyDescent="0.25">
      <c r="C465" s="51" t="s">
        <v>265</v>
      </c>
      <c r="D465" s="51"/>
      <c r="E465" s="46">
        <v>39236.3080848932</v>
      </c>
      <c r="F465">
        <v>228</v>
      </c>
      <c r="G465" t="s">
        <v>40</v>
      </c>
      <c r="I465" s="46">
        <v>0</v>
      </c>
      <c r="J465" s="46">
        <v>20426.778841053201</v>
      </c>
      <c r="K465" s="46">
        <v>773.58126384000002</v>
      </c>
      <c r="L465" s="46">
        <v>16772.257979999998</v>
      </c>
      <c r="M465" s="46">
        <v>1263.69</v>
      </c>
      <c r="N465" s="46">
        <v>0</v>
      </c>
    </row>
    <row r="466" spans="1:14" outlineLevel="1" x14ac:dyDescent="0.25">
      <c r="C466" s="51" t="s">
        <v>266</v>
      </c>
      <c r="D466" s="51"/>
      <c r="E466" s="46">
        <v>32844.602422053802</v>
      </c>
      <c r="F466">
        <v>175</v>
      </c>
      <c r="G466" t="s">
        <v>40</v>
      </c>
      <c r="I466" s="46">
        <v>0</v>
      </c>
      <c r="J466" s="46">
        <v>19681.068290053801</v>
      </c>
      <c r="K466" s="46">
        <v>815.04238199999998</v>
      </c>
      <c r="L466" s="46">
        <v>11765.11175</v>
      </c>
      <c r="M466" s="46">
        <v>583.38</v>
      </c>
      <c r="N466" s="46">
        <v>0</v>
      </c>
    </row>
    <row r="467" spans="1:14" outlineLevel="1" x14ac:dyDescent="0.25">
      <c r="B467">
        <v>2100</v>
      </c>
      <c r="C467" s="47" t="s">
        <v>122</v>
      </c>
      <c r="D467" s="47"/>
      <c r="E467" s="46">
        <v>7721.4348749132996</v>
      </c>
      <c r="F467">
        <v>1</v>
      </c>
      <c r="G467" t="s">
        <v>34</v>
      </c>
      <c r="I467" s="46">
        <v>0</v>
      </c>
      <c r="J467" s="46">
        <v>1781.4348749133001</v>
      </c>
      <c r="K467" s="46">
        <v>2340</v>
      </c>
      <c r="L467" s="46">
        <v>3600</v>
      </c>
      <c r="M467" s="46">
        <v>0</v>
      </c>
      <c r="N467" s="46">
        <v>0</v>
      </c>
    </row>
    <row r="468" spans="1:14" x14ac:dyDescent="0.25">
      <c r="A468">
        <v>9</v>
      </c>
      <c r="C468" t="s">
        <v>89</v>
      </c>
      <c r="E468" s="46">
        <v>100088.95471335</v>
      </c>
      <c r="F468">
        <v>1</v>
      </c>
      <c r="G468" t="s">
        <v>34</v>
      </c>
      <c r="H468">
        <v>130300</v>
      </c>
      <c r="I468" s="46">
        <v>0</v>
      </c>
      <c r="J468" s="46">
        <v>9089.5152522386998</v>
      </c>
      <c r="K468" s="46">
        <v>10215.185359999999</v>
      </c>
      <c r="L468" s="46">
        <v>48378.492013809802</v>
      </c>
      <c r="M468" s="46">
        <v>0</v>
      </c>
      <c r="N468" s="46">
        <v>32405.7620873015</v>
      </c>
    </row>
    <row r="469" spans="1:14" outlineLevel="1" x14ac:dyDescent="0.25">
      <c r="C469" s="47" t="s">
        <v>267</v>
      </c>
      <c r="D469" s="47"/>
      <c r="E469" s="46">
        <v>30364.858999161501</v>
      </c>
      <c r="F469">
        <v>35580</v>
      </c>
      <c r="G469" t="s">
        <v>41</v>
      </c>
      <c r="I469" s="46">
        <v>0</v>
      </c>
      <c r="J469" s="46">
        <v>2781.7914382919098</v>
      </c>
      <c r="K469" s="46">
        <v>3126.2959999999998</v>
      </c>
      <c r="L469" s="46">
        <v>13898.793299999999</v>
      </c>
      <c r="M469" s="46">
        <v>0</v>
      </c>
      <c r="N469" s="46">
        <v>10557.9782608696</v>
      </c>
    </row>
    <row r="470" spans="1:14" outlineLevel="1" x14ac:dyDescent="0.25">
      <c r="B470">
        <v>2157</v>
      </c>
      <c r="C470" s="48" t="s">
        <v>86</v>
      </c>
      <c r="D470" s="48"/>
      <c r="E470" s="46">
        <v>5908.0874382919101</v>
      </c>
      <c r="F470">
        <v>35580</v>
      </c>
      <c r="G470" t="s">
        <v>41</v>
      </c>
      <c r="I470" s="46">
        <v>0</v>
      </c>
      <c r="J470" s="46">
        <v>2781.7914382919098</v>
      </c>
      <c r="K470" s="46">
        <v>3126.2959999999998</v>
      </c>
      <c r="L470" s="46">
        <v>0</v>
      </c>
      <c r="M470" s="46">
        <v>0</v>
      </c>
      <c r="N470" s="46">
        <v>0</v>
      </c>
    </row>
    <row r="471" spans="1:14" outlineLevel="1" x14ac:dyDescent="0.25">
      <c r="B471">
        <v>2183</v>
      </c>
      <c r="C471" s="48" t="s">
        <v>80</v>
      </c>
      <c r="D471" s="48"/>
      <c r="E471" s="46">
        <v>13822.83</v>
      </c>
      <c r="F471">
        <v>1245.3</v>
      </c>
      <c r="G471" t="s">
        <v>43</v>
      </c>
      <c r="I471" s="46">
        <v>0</v>
      </c>
      <c r="J471" s="46">
        <v>0</v>
      </c>
      <c r="K471" s="46">
        <v>0</v>
      </c>
      <c r="L471" s="46">
        <v>13822.83</v>
      </c>
      <c r="M471" s="46">
        <v>0</v>
      </c>
      <c r="N471" s="46">
        <v>0</v>
      </c>
    </row>
    <row r="472" spans="1:14" outlineLevel="1" x14ac:dyDescent="0.25">
      <c r="B472">
        <v>2149</v>
      </c>
      <c r="C472" s="48" t="s">
        <v>48</v>
      </c>
      <c r="D472" s="48"/>
      <c r="E472" s="46">
        <v>10557.9782608696</v>
      </c>
      <c r="F472">
        <v>1245.3</v>
      </c>
      <c r="G472" t="s">
        <v>43</v>
      </c>
      <c r="I472" s="46">
        <v>0</v>
      </c>
      <c r="J472" s="46">
        <v>0</v>
      </c>
      <c r="K472" s="46">
        <v>0</v>
      </c>
      <c r="L472" s="46">
        <v>0</v>
      </c>
      <c r="M472" s="46">
        <v>0</v>
      </c>
      <c r="N472" s="46">
        <v>10557.9782608696</v>
      </c>
    </row>
    <row r="473" spans="1:14" outlineLevel="1" x14ac:dyDescent="0.25">
      <c r="B473">
        <v>1410</v>
      </c>
      <c r="C473" s="48" t="s">
        <v>104</v>
      </c>
      <c r="D473" s="48"/>
      <c r="E473" s="46">
        <v>75.963300000000004</v>
      </c>
      <c r="F473">
        <v>21.703800000000001</v>
      </c>
      <c r="G473" t="s">
        <v>105</v>
      </c>
      <c r="I473" s="46">
        <v>0</v>
      </c>
      <c r="J473" s="46">
        <v>0</v>
      </c>
      <c r="K473" s="46">
        <v>0</v>
      </c>
      <c r="L473" s="46">
        <v>75.963300000000004</v>
      </c>
      <c r="M473" s="46">
        <v>0</v>
      </c>
      <c r="N473" s="46">
        <v>0</v>
      </c>
    </row>
    <row r="474" spans="1:14" outlineLevel="1" x14ac:dyDescent="0.25">
      <c r="C474" s="47" t="s">
        <v>268</v>
      </c>
      <c r="D474" s="47"/>
      <c r="E474" s="46">
        <v>59547.003427370102</v>
      </c>
      <c r="F474">
        <v>57294</v>
      </c>
      <c r="G474" t="s">
        <v>41</v>
      </c>
      <c r="I474" s="46">
        <v>0</v>
      </c>
      <c r="J474" s="46">
        <v>5375.3780325631196</v>
      </c>
      <c r="K474" s="46">
        <v>6041.0793599999997</v>
      </c>
      <c r="L474" s="46">
        <v>29821.376338809801</v>
      </c>
      <c r="M474" s="46">
        <v>0</v>
      </c>
      <c r="N474" s="46">
        <v>18309.1696959972</v>
      </c>
    </row>
    <row r="475" spans="1:14" outlineLevel="1" x14ac:dyDescent="0.25">
      <c r="B475">
        <v>2157</v>
      </c>
      <c r="C475" s="48" t="s">
        <v>86</v>
      </c>
      <c r="D475" s="48"/>
      <c r="E475" s="46">
        <v>11416.457392563099</v>
      </c>
      <c r="F475">
        <v>57294</v>
      </c>
      <c r="G475" t="s">
        <v>41</v>
      </c>
      <c r="I475" s="46">
        <v>0</v>
      </c>
      <c r="J475" s="46">
        <v>5375.3780325631196</v>
      </c>
      <c r="K475" s="46">
        <v>6041.0793599999997</v>
      </c>
      <c r="L475" s="46">
        <v>0</v>
      </c>
      <c r="M475" s="46">
        <v>0</v>
      </c>
      <c r="N475" s="46">
        <v>0</v>
      </c>
    </row>
    <row r="476" spans="1:14" outlineLevel="1" x14ac:dyDescent="0.25">
      <c r="B476">
        <v>2183</v>
      </c>
      <c r="C476" s="48" t="s">
        <v>80</v>
      </c>
      <c r="D476" s="48"/>
      <c r="E476" s="46">
        <v>29821.376338809801</v>
      </c>
      <c r="F476">
        <v>2673.7200190980002</v>
      </c>
      <c r="G476" t="s">
        <v>43</v>
      </c>
      <c r="I476" s="46">
        <v>0</v>
      </c>
      <c r="J476" s="46">
        <v>0</v>
      </c>
      <c r="K476" s="46">
        <v>0</v>
      </c>
      <c r="L476" s="46">
        <v>29821.376338809801</v>
      </c>
      <c r="M476" s="46">
        <v>0</v>
      </c>
      <c r="N476" s="46">
        <v>0</v>
      </c>
    </row>
    <row r="477" spans="1:14" outlineLevel="1" x14ac:dyDescent="0.25">
      <c r="B477">
        <v>2150</v>
      </c>
      <c r="C477" s="48" t="s">
        <v>48</v>
      </c>
      <c r="D477" s="48"/>
      <c r="E477" s="46">
        <v>18309.1696959972</v>
      </c>
      <c r="F477">
        <v>2673.7200190980002</v>
      </c>
      <c r="G477" t="s">
        <v>43</v>
      </c>
      <c r="I477" s="46">
        <v>0</v>
      </c>
      <c r="J477" s="46">
        <v>0</v>
      </c>
      <c r="K477" s="46">
        <v>0</v>
      </c>
      <c r="L477" s="46">
        <v>0</v>
      </c>
      <c r="M477" s="46">
        <v>0</v>
      </c>
      <c r="N477" s="46">
        <v>18309.1696959972</v>
      </c>
    </row>
    <row r="478" spans="1:14" outlineLevel="1" x14ac:dyDescent="0.25">
      <c r="C478" s="47" t="s">
        <v>269</v>
      </c>
      <c r="D478" s="47"/>
      <c r="E478" s="46">
        <v>10177.092286818501</v>
      </c>
      <c r="F478">
        <v>11925</v>
      </c>
      <c r="G478" t="s">
        <v>41</v>
      </c>
      <c r="I478" s="46">
        <v>0</v>
      </c>
      <c r="J478" s="46">
        <v>932.34578138367101</v>
      </c>
      <c r="K478" s="46">
        <v>1047.81</v>
      </c>
      <c r="L478" s="46">
        <v>4658.3223749999997</v>
      </c>
      <c r="M478" s="46">
        <v>0</v>
      </c>
      <c r="N478" s="46">
        <v>3538.6141304347798</v>
      </c>
    </row>
    <row r="479" spans="1:14" outlineLevel="1" x14ac:dyDescent="0.25">
      <c r="B479">
        <v>2157</v>
      </c>
      <c r="C479" s="48" t="s">
        <v>86</v>
      </c>
      <c r="D479" s="48"/>
      <c r="E479" s="46">
        <v>1980.15578138367</v>
      </c>
      <c r="F479">
        <v>11925</v>
      </c>
      <c r="G479" t="s">
        <v>41</v>
      </c>
      <c r="I479" s="46">
        <v>0</v>
      </c>
      <c r="J479" s="46">
        <v>932.34578138367101</v>
      </c>
      <c r="K479" s="46">
        <v>1047.81</v>
      </c>
      <c r="L479" s="46">
        <v>0</v>
      </c>
      <c r="M479" s="46">
        <v>0</v>
      </c>
      <c r="N479" s="46">
        <v>0</v>
      </c>
    </row>
    <row r="480" spans="1:14" outlineLevel="1" x14ac:dyDescent="0.25">
      <c r="B480">
        <v>2183</v>
      </c>
      <c r="C480" s="48" t="s">
        <v>80</v>
      </c>
      <c r="D480" s="48"/>
      <c r="E480" s="46">
        <v>4632.8625000000002</v>
      </c>
      <c r="F480">
        <v>417.375</v>
      </c>
      <c r="G480" t="s">
        <v>43</v>
      </c>
      <c r="I480" s="46">
        <v>0</v>
      </c>
      <c r="J480" s="46">
        <v>0</v>
      </c>
      <c r="K480" s="46">
        <v>0</v>
      </c>
      <c r="L480" s="46">
        <v>4632.8625000000002</v>
      </c>
      <c r="M480" s="46">
        <v>0</v>
      </c>
      <c r="N480" s="46">
        <v>0</v>
      </c>
    </row>
    <row r="481" spans="1:14" outlineLevel="1" x14ac:dyDescent="0.25">
      <c r="B481">
        <v>2149</v>
      </c>
      <c r="C481" s="48" t="s">
        <v>48</v>
      </c>
      <c r="D481" s="48"/>
      <c r="E481" s="46">
        <v>3538.6141304347798</v>
      </c>
      <c r="F481">
        <v>417.375</v>
      </c>
      <c r="G481" t="s">
        <v>43</v>
      </c>
      <c r="I481" s="46">
        <v>0</v>
      </c>
      <c r="J481" s="46">
        <v>0</v>
      </c>
      <c r="K481" s="46">
        <v>0</v>
      </c>
      <c r="L481" s="46">
        <v>0</v>
      </c>
      <c r="M481" s="46">
        <v>0</v>
      </c>
      <c r="N481" s="46">
        <v>3538.6141304347798</v>
      </c>
    </row>
    <row r="482" spans="1:14" outlineLevel="1" x14ac:dyDescent="0.25">
      <c r="B482">
        <v>1410</v>
      </c>
      <c r="C482" s="48" t="s">
        <v>104</v>
      </c>
      <c r="D482" s="48"/>
      <c r="E482" s="46">
        <v>25.459875</v>
      </c>
      <c r="F482">
        <v>7.2742499999999897</v>
      </c>
      <c r="G482" t="s">
        <v>105</v>
      </c>
      <c r="I482" s="46">
        <v>0</v>
      </c>
      <c r="J482" s="46">
        <v>0</v>
      </c>
      <c r="K482" s="46">
        <v>0</v>
      </c>
      <c r="L482" s="46">
        <v>25.459875</v>
      </c>
      <c r="M482" s="46">
        <v>0</v>
      </c>
      <c r="N482" s="46">
        <v>0</v>
      </c>
    </row>
    <row r="483" spans="1:14" x14ac:dyDescent="0.25">
      <c r="A483">
        <v>10</v>
      </c>
      <c r="C483" t="s">
        <v>90</v>
      </c>
      <c r="E483" s="46">
        <v>194782.17</v>
      </c>
      <c r="F483">
        <v>1</v>
      </c>
      <c r="G483" t="s">
        <v>34</v>
      </c>
      <c r="H483">
        <v>230200</v>
      </c>
      <c r="I483" s="46">
        <v>0</v>
      </c>
      <c r="J483" s="46">
        <v>0</v>
      </c>
      <c r="K483" s="46">
        <v>0</v>
      </c>
      <c r="L483" s="46">
        <v>0</v>
      </c>
      <c r="M483" s="46">
        <v>194782.17</v>
      </c>
      <c r="N483" s="46">
        <v>0</v>
      </c>
    </row>
    <row r="484" spans="1:14" outlineLevel="1" x14ac:dyDescent="0.25">
      <c r="B484">
        <v>7530</v>
      </c>
      <c r="C484" s="47" t="s">
        <v>270</v>
      </c>
      <c r="D484" s="47"/>
      <c r="E484" s="46">
        <v>194782.17</v>
      </c>
      <c r="F484">
        <v>1</v>
      </c>
      <c r="G484" t="s">
        <v>34</v>
      </c>
      <c r="I484" s="46">
        <v>0</v>
      </c>
      <c r="J484" s="46">
        <v>0</v>
      </c>
      <c r="K484" s="46">
        <v>0</v>
      </c>
      <c r="L484" s="46">
        <v>0</v>
      </c>
      <c r="M484" s="46">
        <v>194782.17</v>
      </c>
      <c r="N484" s="46">
        <v>0</v>
      </c>
    </row>
    <row r="485" spans="1:14" x14ac:dyDescent="0.25">
      <c r="A485">
        <v>11</v>
      </c>
      <c r="C485" t="s">
        <v>91</v>
      </c>
      <c r="E485" s="46">
        <v>2600</v>
      </c>
      <c r="F485">
        <v>1</v>
      </c>
      <c r="G485" t="s">
        <v>34</v>
      </c>
      <c r="H485" s="46">
        <v>2910</v>
      </c>
      <c r="I485" s="46">
        <v>0</v>
      </c>
      <c r="J485" s="46">
        <v>0</v>
      </c>
      <c r="K485" s="46">
        <v>0</v>
      </c>
      <c r="L485" s="46">
        <v>0</v>
      </c>
      <c r="M485" s="46">
        <v>2600</v>
      </c>
      <c r="N485" s="46">
        <v>0</v>
      </c>
    </row>
    <row r="486" spans="1:14" outlineLevel="1" x14ac:dyDescent="0.25">
      <c r="B486">
        <v>7525</v>
      </c>
      <c r="C486" s="47" t="s">
        <v>106</v>
      </c>
      <c r="D486" s="47"/>
      <c r="E486" s="46">
        <v>2600</v>
      </c>
      <c r="F486">
        <v>1</v>
      </c>
      <c r="G486" t="s">
        <v>34</v>
      </c>
      <c r="I486" s="46">
        <v>0</v>
      </c>
      <c r="J486" s="46">
        <v>0</v>
      </c>
      <c r="K486" s="46">
        <v>0</v>
      </c>
      <c r="L486" s="46">
        <v>0</v>
      </c>
      <c r="M486" s="46">
        <v>2600</v>
      </c>
      <c r="N486" s="46">
        <v>0</v>
      </c>
    </row>
    <row r="487" spans="1:14" x14ac:dyDescent="0.25">
      <c r="A487">
        <v>12</v>
      </c>
      <c r="C487" t="s">
        <v>271</v>
      </c>
      <c r="E487" s="46">
        <v>643178.30572037096</v>
      </c>
      <c r="F487">
        <v>1</v>
      </c>
      <c r="G487" t="s">
        <v>34</v>
      </c>
      <c r="H487" s="46">
        <v>818500</v>
      </c>
      <c r="I487" s="46">
        <v>0</v>
      </c>
      <c r="J487" s="46">
        <v>153282.019292132</v>
      </c>
      <c r="K487" s="46">
        <v>63021.1578021026</v>
      </c>
      <c r="L487" s="46">
        <v>426743.44239377399</v>
      </c>
      <c r="M487" s="46">
        <v>0</v>
      </c>
      <c r="N487" s="46">
        <v>131.68623236260899</v>
      </c>
    </row>
    <row r="488" spans="1:14" outlineLevel="1" x14ac:dyDescent="0.25">
      <c r="C488" s="47" t="s">
        <v>272</v>
      </c>
      <c r="D488" s="47"/>
      <c r="E488" s="46">
        <v>284978.66154083097</v>
      </c>
      <c r="F488">
        <v>1</v>
      </c>
      <c r="G488" t="s">
        <v>34</v>
      </c>
      <c r="I488" s="46">
        <v>0</v>
      </c>
      <c r="J488" s="46">
        <v>48785.0120686187</v>
      </c>
      <c r="K488" s="46">
        <v>13933.397704666701</v>
      </c>
      <c r="L488" s="46">
        <v>222148.348143879</v>
      </c>
      <c r="M488" s="46">
        <v>0</v>
      </c>
      <c r="N488" s="46">
        <v>111.903623666957</v>
      </c>
    </row>
    <row r="489" spans="1:14" outlineLevel="1" x14ac:dyDescent="0.25">
      <c r="C489" s="48" t="s">
        <v>273</v>
      </c>
      <c r="D489" s="48"/>
      <c r="E489" s="46">
        <v>16090.7341095709</v>
      </c>
      <c r="F489">
        <v>43</v>
      </c>
      <c r="G489" t="s">
        <v>39</v>
      </c>
      <c r="I489" s="46">
        <v>0</v>
      </c>
      <c r="J489" s="46">
        <v>3862.87642803468</v>
      </c>
      <c r="K489" s="46">
        <v>0</v>
      </c>
      <c r="L489" s="46">
        <v>12227.857681536199</v>
      </c>
      <c r="M489" s="46">
        <v>0</v>
      </c>
      <c r="N489" s="46">
        <v>0</v>
      </c>
    </row>
    <row r="490" spans="1:14" outlineLevel="1" x14ac:dyDescent="0.25">
      <c r="B490">
        <v>2705</v>
      </c>
      <c r="C490" s="52" t="s">
        <v>274</v>
      </c>
      <c r="D490" s="52"/>
      <c r="E490" s="46">
        <v>3862.87642803468</v>
      </c>
      <c r="F490">
        <v>1</v>
      </c>
      <c r="G490" t="s">
        <v>34</v>
      </c>
      <c r="I490" s="46">
        <v>0</v>
      </c>
      <c r="J490" s="46">
        <v>3862.87642803468</v>
      </c>
      <c r="K490" s="46">
        <v>0</v>
      </c>
      <c r="L490" s="46">
        <v>0</v>
      </c>
      <c r="M490" s="46">
        <v>0</v>
      </c>
      <c r="N490" s="46">
        <v>0</v>
      </c>
    </row>
    <row r="491" spans="1:14" outlineLevel="1" x14ac:dyDescent="0.25">
      <c r="B491">
        <v>2700</v>
      </c>
      <c r="C491" s="51" t="s">
        <v>275</v>
      </c>
      <c r="D491" s="51"/>
      <c r="E491" s="46">
        <v>12227.857681536199</v>
      </c>
      <c r="F491">
        <v>1</v>
      </c>
      <c r="G491" t="s">
        <v>34</v>
      </c>
      <c r="I491" s="46">
        <v>0</v>
      </c>
      <c r="J491" s="46">
        <v>0</v>
      </c>
      <c r="K491" s="46">
        <v>0</v>
      </c>
      <c r="L491" s="46">
        <v>12227.857681536199</v>
      </c>
      <c r="M491" s="46">
        <v>0</v>
      </c>
      <c r="N491" s="46">
        <v>0</v>
      </c>
    </row>
    <row r="492" spans="1:14" outlineLevel="1" x14ac:dyDescent="0.25">
      <c r="C492" s="48" t="s">
        <v>276</v>
      </c>
      <c r="D492" s="48"/>
      <c r="E492" s="46">
        <v>11188.741445023799</v>
      </c>
      <c r="F492">
        <v>2</v>
      </c>
      <c r="G492" t="s">
        <v>39</v>
      </c>
      <c r="I492" s="46">
        <v>0</v>
      </c>
      <c r="J492" s="46">
        <v>2673.70274523121</v>
      </c>
      <c r="K492" s="46">
        <v>0</v>
      </c>
      <c r="L492" s="46">
        <v>8515.0386997925998</v>
      </c>
      <c r="M492" s="46">
        <v>0</v>
      </c>
      <c r="N492" s="46">
        <v>0</v>
      </c>
    </row>
    <row r="493" spans="1:14" outlineLevel="1" x14ac:dyDescent="0.25">
      <c r="B493">
        <v>2705</v>
      </c>
      <c r="C493" s="51" t="s">
        <v>274</v>
      </c>
      <c r="D493" s="51"/>
      <c r="E493" s="46">
        <v>2673.70274523121</v>
      </c>
      <c r="F493">
        <v>1</v>
      </c>
      <c r="G493" t="s">
        <v>34</v>
      </c>
      <c r="I493" s="46">
        <v>0</v>
      </c>
      <c r="J493" s="46">
        <v>2673.70274523121</v>
      </c>
      <c r="K493" s="46">
        <v>0</v>
      </c>
      <c r="L493" s="46">
        <v>0</v>
      </c>
      <c r="M493" s="46">
        <v>0</v>
      </c>
      <c r="N493" s="46">
        <v>0</v>
      </c>
    </row>
    <row r="494" spans="1:14" outlineLevel="1" x14ac:dyDescent="0.25">
      <c r="B494">
        <v>2700</v>
      </c>
      <c r="C494" s="51" t="s">
        <v>277</v>
      </c>
      <c r="D494" s="51"/>
      <c r="E494" s="46">
        <v>8515.0386997925998</v>
      </c>
      <c r="F494">
        <v>1</v>
      </c>
      <c r="G494" t="s">
        <v>34</v>
      </c>
      <c r="I494" s="46">
        <v>0</v>
      </c>
      <c r="J494" s="46">
        <v>0</v>
      </c>
      <c r="K494" s="46">
        <v>0</v>
      </c>
      <c r="L494" s="46">
        <v>8515.0386997925998</v>
      </c>
      <c r="M494" s="46">
        <v>0</v>
      </c>
      <c r="N494" s="46">
        <v>0</v>
      </c>
    </row>
    <row r="495" spans="1:14" outlineLevel="1" x14ac:dyDescent="0.25">
      <c r="C495" s="48" t="s">
        <v>278</v>
      </c>
      <c r="D495" s="48"/>
      <c r="E495" s="46">
        <v>16793.690116600101</v>
      </c>
      <c r="F495">
        <v>2</v>
      </c>
      <c r="G495" t="s">
        <v>39</v>
      </c>
      <c r="I495" s="46">
        <v>0</v>
      </c>
      <c r="J495" s="46">
        <v>2575.2509520231201</v>
      </c>
      <c r="K495" s="46">
        <v>0</v>
      </c>
      <c r="L495" s="46">
        <v>14218.439164576899</v>
      </c>
      <c r="M495" s="46">
        <v>0</v>
      </c>
      <c r="N495" s="46">
        <v>0</v>
      </c>
    </row>
    <row r="496" spans="1:14" outlineLevel="1" x14ac:dyDescent="0.25">
      <c r="B496">
        <v>2705</v>
      </c>
      <c r="C496" s="51" t="s">
        <v>274</v>
      </c>
      <c r="D496" s="51"/>
      <c r="E496" s="46">
        <v>2575.2509520231201</v>
      </c>
      <c r="F496">
        <v>1</v>
      </c>
      <c r="G496" t="s">
        <v>34</v>
      </c>
      <c r="I496" s="46">
        <v>0</v>
      </c>
      <c r="J496" s="46">
        <v>2575.2509520231201</v>
      </c>
      <c r="K496" s="46">
        <v>0</v>
      </c>
      <c r="L496" s="46">
        <v>0</v>
      </c>
      <c r="M496" s="46">
        <v>0</v>
      </c>
      <c r="N496" s="46">
        <v>0</v>
      </c>
    </row>
    <row r="497" spans="2:14" outlineLevel="1" x14ac:dyDescent="0.25">
      <c r="B497">
        <v>2700</v>
      </c>
      <c r="C497" s="51" t="s">
        <v>277</v>
      </c>
      <c r="D497" s="51"/>
      <c r="E497" s="46">
        <v>14218.439164576899</v>
      </c>
      <c r="F497">
        <v>1</v>
      </c>
      <c r="G497" t="s">
        <v>34</v>
      </c>
      <c r="I497" s="46">
        <v>0</v>
      </c>
      <c r="J497" s="46">
        <v>0</v>
      </c>
      <c r="K497" s="46">
        <v>0</v>
      </c>
      <c r="L497" s="46">
        <v>14218.439164576899</v>
      </c>
      <c r="M497" s="46">
        <v>0</v>
      </c>
      <c r="N497" s="46">
        <v>0</v>
      </c>
    </row>
    <row r="498" spans="2:14" outlineLevel="1" x14ac:dyDescent="0.25">
      <c r="C498" s="48" t="s">
        <v>279</v>
      </c>
      <c r="D498" s="48"/>
      <c r="E498" s="46">
        <v>68204.108647733505</v>
      </c>
      <c r="F498">
        <v>4</v>
      </c>
      <c r="G498" t="s">
        <v>39</v>
      </c>
      <c r="I498" s="46">
        <v>0</v>
      </c>
      <c r="J498" s="46">
        <v>4259.2661520231204</v>
      </c>
      <c r="K498" s="46">
        <v>0</v>
      </c>
      <c r="L498" s="46">
        <v>63944.8424957104</v>
      </c>
      <c r="M498" s="46">
        <v>0</v>
      </c>
      <c r="N498" s="46">
        <v>0</v>
      </c>
    </row>
    <row r="499" spans="2:14" outlineLevel="1" x14ac:dyDescent="0.25">
      <c r="B499">
        <v>2705</v>
      </c>
      <c r="C499" s="51" t="s">
        <v>274</v>
      </c>
      <c r="D499" s="51"/>
      <c r="E499" s="46">
        <v>4259.2661520231204</v>
      </c>
      <c r="F499">
        <v>1</v>
      </c>
      <c r="G499" t="s">
        <v>34</v>
      </c>
      <c r="I499" s="46">
        <v>0</v>
      </c>
      <c r="J499" s="46">
        <v>4259.2661520231204</v>
      </c>
      <c r="K499" s="46">
        <v>0</v>
      </c>
      <c r="L499" s="46">
        <v>0</v>
      </c>
      <c r="M499" s="46">
        <v>0</v>
      </c>
      <c r="N499" s="46">
        <v>0</v>
      </c>
    </row>
    <row r="500" spans="2:14" outlineLevel="1" x14ac:dyDescent="0.25">
      <c r="B500">
        <v>2700</v>
      </c>
      <c r="C500" s="51" t="s">
        <v>277</v>
      </c>
      <c r="D500" s="51"/>
      <c r="E500" s="46">
        <v>63944.8424957104</v>
      </c>
      <c r="F500">
        <v>1</v>
      </c>
      <c r="G500" t="s">
        <v>34</v>
      </c>
      <c r="I500" s="46">
        <v>0</v>
      </c>
      <c r="J500" s="46">
        <v>0</v>
      </c>
      <c r="K500" s="46">
        <v>0</v>
      </c>
      <c r="L500" s="46">
        <v>63944.8424957104</v>
      </c>
      <c r="M500" s="46">
        <v>0</v>
      </c>
      <c r="N500" s="46">
        <v>0</v>
      </c>
    </row>
    <row r="501" spans="2:14" outlineLevel="1" x14ac:dyDescent="0.25">
      <c r="C501" s="48" t="s">
        <v>280</v>
      </c>
      <c r="D501" s="48"/>
      <c r="E501" s="46">
        <v>15150.5616560694</v>
      </c>
      <c r="F501">
        <v>10</v>
      </c>
      <c r="G501" t="s">
        <v>39</v>
      </c>
      <c r="I501" s="46">
        <v>0</v>
      </c>
      <c r="J501" s="46">
        <v>5941.5616560693697</v>
      </c>
      <c r="K501" s="46">
        <v>2090</v>
      </c>
      <c r="L501" s="46">
        <v>7119</v>
      </c>
      <c r="M501" s="46">
        <v>0</v>
      </c>
      <c r="N501" s="46">
        <v>0</v>
      </c>
    </row>
    <row r="502" spans="2:14" outlineLevel="1" x14ac:dyDescent="0.25">
      <c r="B502">
        <v>2705</v>
      </c>
      <c r="C502" s="51" t="s">
        <v>274</v>
      </c>
      <c r="D502" s="51"/>
      <c r="E502" s="46">
        <v>8031.5616560693697</v>
      </c>
      <c r="F502">
        <v>1</v>
      </c>
      <c r="G502" t="s">
        <v>34</v>
      </c>
      <c r="I502" s="46">
        <v>0</v>
      </c>
      <c r="J502" s="46">
        <v>5941.5616560693697</v>
      </c>
      <c r="K502" s="46">
        <v>2090</v>
      </c>
      <c r="L502" s="46">
        <v>0</v>
      </c>
      <c r="M502" s="46">
        <v>0</v>
      </c>
      <c r="N502" s="46">
        <v>0</v>
      </c>
    </row>
    <row r="503" spans="2:14" outlineLevel="1" x14ac:dyDescent="0.25">
      <c r="B503">
        <v>2700</v>
      </c>
      <c r="C503" s="51" t="s">
        <v>277</v>
      </c>
      <c r="D503" s="51"/>
      <c r="E503" s="46">
        <v>7119</v>
      </c>
      <c r="F503">
        <v>1</v>
      </c>
      <c r="G503" t="s">
        <v>34</v>
      </c>
      <c r="I503" s="46">
        <v>0</v>
      </c>
      <c r="J503" s="46">
        <v>0</v>
      </c>
      <c r="K503" s="46">
        <v>0</v>
      </c>
      <c r="L503" s="46">
        <v>7119</v>
      </c>
      <c r="M503" s="46">
        <v>0</v>
      </c>
      <c r="N503" s="46">
        <v>0</v>
      </c>
    </row>
    <row r="504" spans="2:14" outlineLevel="1" x14ac:dyDescent="0.25">
      <c r="C504" s="48" t="s">
        <v>281</v>
      </c>
      <c r="D504" s="48"/>
      <c r="E504" s="46">
        <v>3936.3892250058998</v>
      </c>
      <c r="F504">
        <v>100</v>
      </c>
      <c r="G504" t="s">
        <v>40</v>
      </c>
      <c r="I504" s="46">
        <v>0</v>
      </c>
      <c r="J504" s="46">
        <v>643.81273800578003</v>
      </c>
      <c r="K504" s="46">
        <v>0</v>
      </c>
      <c r="L504" s="46">
        <v>3292.5764870001199</v>
      </c>
      <c r="M504" s="46">
        <v>0</v>
      </c>
      <c r="N504" s="46">
        <v>0</v>
      </c>
    </row>
    <row r="505" spans="2:14" outlineLevel="1" x14ac:dyDescent="0.25">
      <c r="B505">
        <v>2705</v>
      </c>
      <c r="C505" s="51" t="s">
        <v>274</v>
      </c>
      <c r="D505" s="51"/>
      <c r="E505" s="46">
        <v>643.81273800578003</v>
      </c>
      <c r="F505">
        <v>1</v>
      </c>
      <c r="G505" t="s">
        <v>34</v>
      </c>
      <c r="I505" s="46">
        <v>0</v>
      </c>
      <c r="J505" s="46">
        <v>643.81273800578003</v>
      </c>
      <c r="K505" s="46">
        <v>0</v>
      </c>
      <c r="L505" s="46">
        <v>0</v>
      </c>
      <c r="M505" s="46">
        <v>0</v>
      </c>
      <c r="N505" s="46">
        <v>0</v>
      </c>
    </row>
    <row r="506" spans="2:14" outlineLevel="1" x14ac:dyDescent="0.25">
      <c r="B506">
        <v>2700</v>
      </c>
      <c r="C506" s="51" t="s">
        <v>277</v>
      </c>
      <c r="D506" s="51"/>
      <c r="E506" s="46">
        <v>3292.5764870001199</v>
      </c>
      <c r="F506">
        <v>1</v>
      </c>
      <c r="G506" t="s">
        <v>34</v>
      </c>
      <c r="I506" s="46">
        <v>0</v>
      </c>
      <c r="J506" s="46">
        <v>0</v>
      </c>
      <c r="K506" s="46">
        <v>0</v>
      </c>
      <c r="L506" s="46">
        <v>3292.5764870001199</v>
      </c>
      <c r="M506" s="46">
        <v>0</v>
      </c>
      <c r="N506" s="46">
        <v>0</v>
      </c>
    </row>
    <row r="507" spans="2:14" outlineLevel="1" x14ac:dyDescent="0.25">
      <c r="C507" s="48" t="s">
        <v>282</v>
      </c>
      <c r="D507" s="48"/>
      <c r="E507" s="46">
        <v>3518.2577829002698</v>
      </c>
      <c r="F507">
        <v>1054</v>
      </c>
      <c r="G507" t="s">
        <v>40</v>
      </c>
      <c r="I507" s="46">
        <v>0</v>
      </c>
      <c r="J507" s="46">
        <v>1221.5168052046199</v>
      </c>
      <c r="K507" s="46">
        <v>0</v>
      </c>
      <c r="L507" s="46">
        <v>2296.7409776956501</v>
      </c>
      <c r="M507" s="46">
        <v>0</v>
      </c>
      <c r="N507" s="46">
        <v>0</v>
      </c>
    </row>
    <row r="508" spans="2:14" outlineLevel="1" x14ac:dyDescent="0.25">
      <c r="B508">
        <v>2705</v>
      </c>
      <c r="C508" s="51" t="s">
        <v>274</v>
      </c>
      <c r="D508" s="51"/>
      <c r="E508" s="46">
        <v>1221.5168052046199</v>
      </c>
      <c r="F508">
        <v>1</v>
      </c>
      <c r="G508" t="s">
        <v>34</v>
      </c>
      <c r="I508" s="46">
        <v>0</v>
      </c>
      <c r="J508" s="46">
        <v>1221.5168052046199</v>
      </c>
      <c r="K508" s="46">
        <v>0</v>
      </c>
      <c r="L508" s="46">
        <v>0</v>
      </c>
      <c r="M508" s="46">
        <v>0</v>
      </c>
      <c r="N508" s="46">
        <v>0</v>
      </c>
    </row>
    <row r="509" spans="2:14" outlineLevel="1" x14ac:dyDescent="0.25">
      <c r="B509">
        <v>2700</v>
      </c>
      <c r="C509" s="51" t="s">
        <v>277</v>
      </c>
      <c r="D509" s="51"/>
      <c r="E509" s="46">
        <v>2296.7409776956501</v>
      </c>
      <c r="F509">
        <v>1</v>
      </c>
      <c r="G509" t="s">
        <v>34</v>
      </c>
      <c r="I509" s="46">
        <v>0</v>
      </c>
      <c r="J509" s="46">
        <v>0</v>
      </c>
      <c r="K509" s="46">
        <v>0</v>
      </c>
      <c r="L509" s="46">
        <v>2296.7409776956501</v>
      </c>
      <c r="M509" s="46">
        <v>0</v>
      </c>
      <c r="N509" s="46">
        <v>0</v>
      </c>
    </row>
    <row r="510" spans="2:14" outlineLevel="1" x14ac:dyDescent="0.25">
      <c r="C510" s="48" t="s">
        <v>283</v>
      </c>
      <c r="D510" s="48"/>
      <c r="E510" s="46">
        <v>1579.09369504803</v>
      </c>
      <c r="F510">
        <v>100</v>
      </c>
      <c r="G510" t="s">
        <v>41</v>
      </c>
      <c r="I510" s="46">
        <v>0</v>
      </c>
      <c r="J510" s="46">
        <v>705.63291010770695</v>
      </c>
      <c r="K510" s="46">
        <v>133.416666666667</v>
      </c>
      <c r="L510" s="46">
        <v>720.26150957799996</v>
      </c>
      <c r="M510" s="46">
        <v>0</v>
      </c>
      <c r="N510" s="46">
        <v>19.7826086956522</v>
      </c>
    </row>
    <row r="511" spans="2:14" outlineLevel="1" x14ac:dyDescent="0.25">
      <c r="C511" s="51" t="s">
        <v>284</v>
      </c>
      <c r="D511" s="51"/>
      <c r="E511" s="46">
        <v>346.27268848852299</v>
      </c>
      <c r="F511">
        <v>100</v>
      </c>
      <c r="G511" t="s">
        <v>41</v>
      </c>
      <c r="I511" s="46">
        <v>0</v>
      </c>
      <c r="J511" s="46">
        <v>154.22341312620401</v>
      </c>
      <c r="K511" s="46">
        <v>133.416666666667</v>
      </c>
      <c r="L511" s="46">
        <v>38.85</v>
      </c>
      <c r="M511" s="46">
        <v>0</v>
      </c>
      <c r="N511" s="46">
        <v>19.7826086956522</v>
      </c>
    </row>
    <row r="512" spans="2:14" outlineLevel="1" x14ac:dyDescent="0.25">
      <c r="B512">
        <v>2156</v>
      </c>
      <c r="C512" s="53" t="s">
        <v>82</v>
      </c>
      <c r="D512" s="53"/>
      <c r="E512" s="46">
        <v>287.64007979287101</v>
      </c>
      <c r="F512">
        <v>100</v>
      </c>
      <c r="G512" t="s">
        <v>41</v>
      </c>
      <c r="I512" s="46">
        <v>0</v>
      </c>
      <c r="J512" s="46">
        <v>154.22341312620401</v>
      </c>
      <c r="K512" s="46">
        <v>133.416666666667</v>
      </c>
      <c r="L512" s="46">
        <v>0</v>
      </c>
      <c r="M512" s="46">
        <v>0</v>
      </c>
      <c r="N512" s="46">
        <v>0</v>
      </c>
    </row>
    <row r="513" spans="2:14" outlineLevel="1" x14ac:dyDescent="0.25">
      <c r="B513">
        <v>2183</v>
      </c>
      <c r="C513" s="53" t="s">
        <v>80</v>
      </c>
      <c r="D513" s="53"/>
      <c r="E513" s="46">
        <v>38.85</v>
      </c>
      <c r="F513">
        <v>3.5</v>
      </c>
      <c r="G513" t="s">
        <v>43</v>
      </c>
      <c r="I513" s="46">
        <v>0</v>
      </c>
      <c r="J513" s="46">
        <v>0</v>
      </c>
      <c r="K513" s="46">
        <v>0</v>
      </c>
      <c r="L513" s="46">
        <v>38.85</v>
      </c>
      <c r="M513" s="46">
        <v>0</v>
      </c>
      <c r="N513" s="46">
        <v>0</v>
      </c>
    </row>
    <row r="514" spans="2:14" outlineLevel="1" x14ac:dyDescent="0.25">
      <c r="B514">
        <v>2149</v>
      </c>
      <c r="C514" s="53" t="s">
        <v>48</v>
      </c>
      <c r="D514" s="53"/>
      <c r="E514" s="46">
        <v>19.7826086956522</v>
      </c>
      <c r="F514">
        <v>3.5</v>
      </c>
      <c r="G514" t="s">
        <v>43</v>
      </c>
      <c r="I514" s="46">
        <v>0</v>
      </c>
      <c r="J514" s="46">
        <v>0</v>
      </c>
      <c r="K514" s="46">
        <v>0</v>
      </c>
      <c r="L514" s="46">
        <v>0</v>
      </c>
      <c r="M514" s="46">
        <v>0</v>
      </c>
      <c r="N514" s="46">
        <v>19.7826086956522</v>
      </c>
    </row>
    <row r="515" spans="2:14" outlineLevel="1" x14ac:dyDescent="0.25">
      <c r="C515" s="51" t="s">
        <v>285</v>
      </c>
      <c r="D515" s="51"/>
      <c r="E515" s="46">
        <v>780.80534846701698</v>
      </c>
      <c r="F515">
        <v>100</v>
      </c>
      <c r="G515" t="s">
        <v>41</v>
      </c>
      <c r="I515" s="46">
        <v>0</v>
      </c>
      <c r="J515" s="46">
        <v>459.26213888901702</v>
      </c>
      <c r="K515" s="46">
        <v>0</v>
      </c>
      <c r="L515" s="46">
        <v>321.54320957800002</v>
      </c>
      <c r="M515" s="46">
        <v>0</v>
      </c>
      <c r="N515" s="46">
        <v>0</v>
      </c>
    </row>
    <row r="516" spans="2:14" outlineLevel="1" x14ac:dyDescent="0.25">
      <c r="B516">
        <v>3254</v>
      </c>
      <c r="C516" s="53" t="s">
        <v>84</v>
      </c>
      <c r="D516" s="53"/>
      <c r="E516" s="46">
        <v>780.80534846701698</v>
      </c>
      <c r="F516">
        <v>100</v>
      </c>
      <c r="G516" t="s">
        <v>41</v>
      </c>
      <c r="I516" s="46">
        <v>0</v>
      </c>
      <c r="J516" s="46">
        <v>459.26213888901702</v>
      </c>
      <c r="K516" s="46">
        <v>0</v>
      </c>
      <c r="L516" s="46">
        <v>321.54320957800002</v>
      </c>
      <c r="M516" s="46">
        <v>0</v>
      </c>
      <c r="N516" s="46">
        <v>0</v>
      </c>
    </row>
    <row r="517" spans="2:14" outlineLevel="1" x14ac:dyDescent="0.25">
      <c r="B517">
        <v>3710</v>
      </c>
      <c r="C517" s="53" t="s">
        <v>286</v>
      </c>
      <c r="D517" s="53"/>
      <c r="E517" s="46">
        <v>452.01565809248598</v>
      </c>
      <c r="F517">
        <v>50</v>
      </c>
      <c r="G517" t="s">
        <v>40</v>
      </c>
      <c r="I517" s="46">
        <v>0</v>
      </c>
      <c r="J517" s="46">
        <v>92.147358092485604</v>
      </c>
      <c r="K517" s="46">
        <v>0</v>
      </c>
      <c r="L517" s="46">
        <v>359.86829999999998</v>
      </c>
      <c r="M517" s="46">
        <v>0</v>
      </c>
      <c r="N517" s="46">
        <v>0</v>
      </c>
    </row>
    <row r="518" spans="2:14" outlineLevel="1" x14ac:dyDescent="0.25">
      <c r="C518" s="48" t="s">
        <v>287</v>
      </c>
      <c r="D518" s="48"/>
      <c r="E518" s="46">
        <v>6027.3578461022698</v>
      </c>
      <c r="F518">
        <v>1</v>
      </c>
      <c r="G518" t="s">
        <v>39</v>
      </c>
      <c r="I518" s="46">
        <v>0</v>
      </c>
      <c r="J518" s="46">
        <v>3286.2630658630501</v>
      </c>
      <c r="K518" s="46">
        <v>487.98480000000001</v>
      </c>
      <c r="L518" s="46">
        <v>2160.9889652679199</v>
      </c>
      <c r="M518" s="46">
        <v>0</v>
      </c>
      <c r="N518" s="46">
        <v>92.121014971304305</v>
      </c>
    </row>
    <row r="519" spans="2:14" outlineLevel="1" x14ac:dyDescent="0.25">
      <c r="C519" s="51" t="s">
        <v>288</v>
      </c>
      <c r="D519" s="51"/>
      <c r="E519" s="46">
        <v>1325.1048717615099</v>
      </c>
      <c r="F519">
        <v>254</v>
      </c>
      <c r="G519" t="s">
        <v>41</v>
      </c>
      <c r="I519" s="46">
        <v>0</v>
      </c>
      <c r="J519" s="46">
        <v>564.08755585040501</v>
      </c>
      <c r="K519" s="46">
        <v>487.98480000000001</v>
      </c>
      <c r="L519" s="46">
        <v>180.91150093979999</v>
      </c>
      <c r="M519" s="46">
        <v>0</v>
      </c>
      <c r="N519" s="46">
        <v>92.121014971304305</v>
      </c>
    </row>
    <row r="520" spans="2:14" outlineLevel="1" x14ac:dyDescent="0.25">
      <c r="B520">
        <v>2156</v>
      </c>
      <c r="C520" s="53" t="s">
        <v>82</v>
      </c>
      <c r="D520" s="53"/>
      <c r="E520" s="46">
        <v>1052.0723558504001</v>
      </c>
      <c r="F520">
        <v>254</v>
      </c>
      <c r="G520" t="s">
        <v>41</v>
      </c>
      <c r="I520" s="46">
        <v>0</v>
      </c>
      <c r="J520" s="46">
        <v>564.08755585040501</v>
      </c>
      <c r="K520" s="46">
        <v>487.98480000000001</v>
      </c>
      <c r="L520" s="46">
        <v>0</v>
      </c>
      <c r="M520" s="46">
        <v>0</v>
      </c>
      <c r="N520" s="46">
        <v>0</v>
      </c>
    </row>
    <row r="521" spans="2:14" outlineLevel="1" x14ac:dyDescent="0.25">
      <c r="B521">
        <v>2183</v>
      </c>
      <c r="C521" s="53" t="s">
        <v>80</v>
      </c>
      <c r="D521" s="53"/>
      <c r="E521" s="46">
        <v>180.91150093979999</v>
      </c>
      <c r="F521">
        <v>16.298333417999999</v>
      </c>
      <c r="G521" t="s">
        <v>43</v>
      </c>
      <c r="I521" s="46">
        <v>0</v>
      </c>
      <c r="J521" s="46">
        <v>0</v>
      </c>
      <c r="K521" s="46">
        <v>0</v>
      </c>
      <c r="L521" s="46">
        <v>180.91150093979999</v>
      </c>
      <c r="M521" s="46">
        <v>0</v>
      </c>
      <c r="N521" s="46">
        <v>0</v>
      </c>
    </row>
    <row r="522" spans="2:14" outlineLevel="1" x14ac:dyDescent="0.25">
      <c r="B522">
        <v>2149</v>
      </c>
      <c r="C522" s="53" t="s">
        <v>48</v>
      </c>
      <c r="D522" s="53"/>
      <c r="E522" s="46">
        <v>92.121014971304305</v>
      </c>
      <c r="F522">
        <v>16.298333417999999</v>
      </c>
      <c r="G522" t="s">
        <v>43</v>
      </c>
      <c r="I522" s="46">
        <v>0</v>
      </c>
      <c r="J522" s="46">
        <v>0</v>
      </c>
      <c r="K522" s="46">
        <v>0</v>
      </c>
      <c r="L522" s="46">
        <v>0</v>
      </c>
      <c r="M522" s="46">
        <v>0</v>
      </c>
      <c r="N522" s="46">
        <v>92.121014971304305</v>
      </c>
    </row>
    <row r="523" spans="2:14" outlineLevel="1" x14ac:dyDescent="0.25">
      <c r="C523" s="51" t="s">
        <v>285</v>
      </c>
      <c r="D523" s="51"/>
      <c r="E523" s="46">
        <v>2218.94493665868</v>
      </c>
      <c r="F523">
        <v>254</v>
      </c>
      <c r="G523" t="s">
        <v>41</v>
      </c>
      <c r="I523" s="46">
        <v>0</v>
      </c>
      <c r="J523" s="46">
        <v>1402.2251843305601</v>
      </c>
      <c r="K523" s="46">
        <v>0</v>
      </c>
      <c r="L523" s="46">
        <v>816.71975232811997</v>
      </c>
      <c r="M523" s="46">
        <v>0</v>
      </c>
      <c r="N523" s="46">
        <v>0</v>
      </c>
    </row>
    <row r="524" spans="2:14" outlineLevel="1" x14ac:dyDescent="0.25">
      <c r="B524">
        <v>3254</v>
      </c>
      <c r="C524" s="53" t="s">
        <v>84</v>
      </c>
      <c r="D524" s="53"/>
      <c r="E524" s="46">
        <v>2218.94493665868</v>
      </c>
      <c r="F524">
        <v>254</v>
      </c>
      <c r="G524" t="s">
        <v>41</v>
      </c>
      <c r="I524" s="46">
        <v>0</v>
      </c>
      <c r="J524" s="46">
        <v>1402.2251843305601</v>
      </c>
      <c r="K524" s="46">
        <v>0</v>
      </c>
      <c r="L524" s="46">
        <v>816.71975232811997</v>
      </c>
      <c r="M524" s="46">
        <v>0</v>
      </c>
      <c r="N524" s="46">
        <v>0</v>
      </c>
    </row>
    <row r="525" spans="2:14" outlineLevel="1" x14ac:dyDescent="0.25">
      <c r="B525">
        <v>3710</v>
      </c>
      <c r="C525" s="53" t="s">
        <v>286</v>
      </c>
      <c r="D525" s="53"/>
      <c r="E525" s="46">
        <v>1012.51507412717</v>
      </c>
      <c r="F525">
        <v>112</v>
      </c>
      <c r="G525" t="s">
        <v>40</v>
      </c>
      <c r="I525" s="46">
        <v>0</v>
      </c>
      <c r="J525" s="46">
        <v>206.41008212716801</v>
      </c>
      <c r="K525" s="46">
        <v>0</v>
      </c>
      <c r="L525" s="46">
        <v>806.10499200000004</v>
      </c>
      <c r="M525" s="46">
        <v>0</v>
      </c>
      <c r="N525" s="46">
        <v>0</v>
      </c>
    </row>
    <row r="526" spans="2:14" outlineLevel="1" x14ac:dyDescent="0.25">
      <c r="C526" s="48" t="s">
        <v>289</v>
      </c>
      <c r="D526" s="48"/>
      <c r="E526" s="46">
        <v>1470.7929635549101</v>
      </c>
      <c r="F526">
        <v>60</v>
      </c>
      <c r="G526" t="s">
        <v>40</v>
      </c>
      <c r="I526" s="46">
        <v>0</v>
      </c>
      <c r="J526" s="46">
        <v>1113.5402435549099</v>
      </c>
      <c r="K526" s="46">
        <v>0</v>
      </c>
      <c r="L526" s="46">
        <v>357.25272000000001</v>
      </c>
      <c r="M526" s="46">
        <v>0</v>
      </c>
      <c r="N526" s="46">
        <v>0</v>
      </c>
    </row>
    <row r="527" spans="2:14" outlineLevel="1" x14ac:dyDescent="0.25">
      <c r="B527">
        <v>3251</v>
      </c>
      <c r="C527" s="51" t="s">
        <v>83</v>
      </c>
      <c r="D527" s="51"/>
      <c r="E527" s="46">
        <v>1470.7929635549101</v>
      </c>
      <c r="F527">
        <v>60</v>
      </c>
      <c r="G527" t="s">
        <v>40</v>
      </c>
      <c r="I527" s="46">
        <v>0</v>
      </c>
      <c r="J527" s="46">
        <v>1113.5402435549099</v>
      </c>
      <c r="K527" s="46">
        <v>0</v>
      </c>
      <c r="L527" s="46">
        <v>357.25272000000001</v>
      </c>
      <c r="M527" s="46">
        <v>0</v>
      </c>
      <c r="N527" s="46">
        <v>0</v>
      </c>
    </row>
    <row r="528" spans="2:14" outlineLevel="1" x14ac:dyDescent="0.25">
      <c r="C528" s="48" t="s">
        <v>290</v>
      </c>
      <c r="D528" s="48"/>
      <c r="E528" s="46">
        <v>1317.46407048729</v>
      </c>
      <c r="F528">
        <v>4</v>
      </c>
      <c r="G528" t="s">
        <v>39</v>
      </c>
      <c r="I528" s="46">
        <v>0</v>
      </c>
      <c r="J528" s="46">
        <v>356.49369936416201</v>
      </c>
      <c r="K528" s="46">
        <v>0</v>
      </c>
      <c r="L528" s="46">
        <v>960.97037112313103</v>
      </c>
      <c r="M528" s="46">
        <v>0</v>
      </c>
      <c r="N528" s="46">
        <v>0</v>
      </c>
    </row>
    <row r="529" spans="2:14" outlineLevel="1" x14ac:dyDescent="0.25">
      <c r="B529">
        <v>2705</v>
      </c>
      <c r="C529" s="51" t="s">
        <v>274</v>
      </c>
      <c r="D529" s="51"/>
      <c r="E529" s="46">
        <v>356.49369936416201</v>
      </c>
      <c r="F529">
        <v>1</v>
      </c>
      <c r="G529" t="s">
        <v>34</v>
      </c>
      <c r="I529" s="46">
        <v>0</v>
      </c>
      <c r="J529" s="46">
        <v>356.49369936416201</v>
      </c>
      <c r="K529" s="46">
        <v>0</v>
      </c>
      <c r="L529" s="46">
        <v>0</v>
      </c>
      <c r="M529" s="46">
        <v>0</v>
      </c>
      <c r="N529" s="46">
        <v>0</v>
      </c>
    </row>
    <row r="530" spans="2:14" outlineLevel="1" x14ac:dyDescent="0.25">
      <c r="B530">
        <v>2700</v>
      </c>
      <c r="C530" s="51" t="s">
        <v>277</v>
      </c>
      <c r="D530" s="51"/>
      <c r="E530" s="46">
        <v>960.97037112313103</v>
      </c>
      <c r="F530">
        <v>1</v>
      </c>
      <c r="G530" t="s">
        <v>34</v>
      </c>
      <c r="I530" s="46">
        <v>0</v>
      </c>
      <c r="J530" s="46">
        <v>0</v>
      </c>
      <c r="K530" s="46">
        <v>0</v>
      </c>
      <c r="L530" s="46">
        <v>960.97037112313103</v>
      </c>
      <c r="M530" s="46">
        <v>0</v>
      </c>
      <c r="N530" s="46">
        <v>0</v>
      </c>
    </row>
    <row r="531" spans="2:14" outlineLevel="1" x14ac:dyDescent="0.25">
      <c r="C531" s="48" t="s">
        <v>291</v>
      </c>
      <c r="D531" s="48"/>
      <c r="E531" s="46">
        <v>2609.7536788081002</v>
      </c>
      <c r="F531">
        <v>4</v>
      </c>
      <c r="G531" t="s">
        <v>39</v>
      </c>
      <c r="I531" s="46">
        <v>0</v>
      </c>
      <c r="J531" s="46">
        <v>1487.7507974566499</v>
      </c>
      <c r="K531" s="46">
        <v>0</v>
      </c>
      <c r="L531" s="46">
        <v>1122.00288135145</v>
      </c>
      <c r="M531" s="46">
        <v>0</v>
      </c>
      <c r="N531" s="46">
        <v>0</v>
      </c>
    </row>
    <row r="532" spans="2:14" outlineLevel="1" x14ac:dyDescent="0.25">
      <c r="B532">
        <v>2705</v>
      </c>
      <c r="C532" s="52" t="s">
        <v>274</v>
      </c>
      <c r="D532" s="52"/>
      <c r="E532" s="46">
        <v>1487.7507974566499</v>
      </c>
      <c r="F532">
        <v>1</v>
      </c>
      <c r="G532" t="s">
        <v>34</v>
      </c>
      <c r="I532" s="46">
        <v>0</v>
      </c>
      <c r="J532" s="46">
        <v>1487.7507974566499</v>
      </c>
      <c r="K532" s="46">
        <v>0</v>
      </c>
      <c r="L532" s="46">
        <v>0</v>
      </c>
      <c r="M532" s="46">
        <v>0</v>
      </c>
      <c r="N532" s="46">
        <v>0</v>
      </c>
    </row>
    <row r="533" spans="2:14" outlineLevel="1" x14ac:dyDescent="0.25">
      <c r="B533">
        <v>2700</v>
      </c>
      <c r="C533" s="51" t="s">
        <v>277</v>
      </c>
      <c r="D533" s="51"/>
      <c r="E533" s="46">
        <v>1122.00288135145</v>
      </c>
      <c r="F533">
        <v>1</v>
      </c>
      <c r="G533" t="s">
        <v>34</v>
      </c>
      <c r="I533" s="46">
        <v>0</v>
      </c>
      <c r="J533" s="46">
        <v>0</v>
      </c>
      <c r="K533" s="46">
        <v>0</v>
      </c>
      <c r="L533" s="46">
        <v>1122.00288135145</v>
      </c>
      <c r="M533" s="46">
        <v>0</v>
      </c>
      <c r="N533" s="46">
        <v>0</v>
      </c>
    </row>
    <row r="534" spans="2:14" outlineLevel="1" x14ac:dyDescent="0.25">
      <c r="C534" s="48" t="s">
        <v>292</v>
      </c>
      <c r="D534" s="48"/>
      <c r="E534" s="46">
        <v>2048.7582598372801</v>
      </c>
      <c r="F534">
        <v>3</v>
      </c>
      <c r="G534" t="s">
        <v>39</v>
      </c>
      <c r="I534" s="46">
        <v>0</v>
      </c>
      <c r="J534" s="46">
        <v>1115.81309809249</v>
      </c>
      <c r="K534" s="46">
        <v>0</v>
      </c>
      <c r="L534" s="46">
        <v>932.94516174479804</v>
      </c>
      <c r="M534" s="46">
        <v>0</v>
      </c>
      <c r="N534" s="46">
        <v>0</v>
      </c>
    </row>
    <row r="535" spans="2:14" outlineLevel="1" x14ac:dyDescent="0.25">
      <c r="B535">
        <v>2705</v>
      </c>
      <c r="C535" s="52" t="s">
        <v>274</v>
      </c>
      <c r="D535" s="52"/>
      <c r="E535" s="46">
        <v>1115.81309809249</v>
      </c>
      <c r="F535">
        <v>1</v>
      </c>
      <c r="G535" t="s">
        <v>34</v>
      </c>
      <c r="I535" s="46">
        <v>0</v>
      </c>
      <c r="J535" s="46">
        <v>1115.81309809249</v>
      </c>
      <c r="K535" s="46">
        <v>0</v>
      </c>
      <c r="L535" s="46">
        <v>0</v>
      </c>
      <c r="M535" s="46">
        <v>0</v>
      </c>
      <c r="N535" s="46">
        <v>0</v>
      </c>
    </row>
    <row r="536" spans="2:14" outlineLevel="1" x14ac:dyDescent="0.25">
      <c r="B536">
        <v>2700</v>
      </c>
      <c r="C536" s="51" t="s">
        <v>277</v>
      </c>
      <c r="D536" s="51"/>
      <c r="E536" s="46">
        <v>932.94516174479804</v>
      </c>
      <c r="F536">
        <v>1</v>
      </c>
      <c r="G536" t="s">
        <v>34</v>
      </c>
      <c r="I536" s="46">
        <v>0</v>
      </c>
      <c r="J536" s="46">
        <v>0</v>
      </c>
      <c r="K536" s="46">
        <v>0</v>
      </c>
      <c r="L536" s="46">
        <v>932.94516174479804</v>
      </c>
      <c r="M536" s="46">
        <v>0</v>
      </c>
      <c r="N536" s="46">
        <v>0</v>
      </c>
    </row>
    <row r="537" spans="2:14" outlineLevel="1" x14ac:dyDescent="0.25">
      <c r="C537" s="48" t="s">
        <v>293</v>
      </c>
      <c r="D537" s="48"/>
      <c r="E537" s="46">
        <v>136513.75100764399</v>
      </c>
      <c r="F537">
        <v>156</v>
      </c>
      <c r="G537" t="s">
        <v>40</v>
      </c>
      <c r="I537" s="46">
        <v>0</v>
      </c>
      <c r="J537" s="46">
        <v>20655.071021142801</v>
      </c>
      <c r="K537" s="46">
        <v>11221.996238</v>
      </c>
      <c r="L537" s="46">
        <v>104636.68374850199</v>
      </c>
      <c r="M537" s="46">
        <v>0</v>
      </c>
      <c r="N537" s="46">
        <v>0</v>
      </c>
    </row>
    <row r="538" spans="2:14" outlineLevel="1" x14ac:dyDescent="0.25">
      <c r="C538" s="51" t="s">
        <v>294</v>
      </c>
      <c r="D538" s="51"/>
      <c r="E538" s="46">
        <v>6915.7374011560696</v>
      </c>
      <c r="F538">
        <v>2</v>
      </c>
      <c r="G538" t="s">
        <v>34</v>
      </c>
      <c r="I538" s="46">
        <v>0</v>
      </c>
      <c r="J538" s="46">
        <v>4635.7374011560696</v>
      </c>
      <c r="K538" s="46">
        <v>2280</v>
      </c>
      <c r="L538" s="46">
        <v>0</v>
      </c>
      <c r="M538" s="46">
        <v>0</v>
      </c>
      <c r="N538" s="46">
        <v>0</v>
      </c>
    </row>
    <row r="539" spans="2:14" outlineLevel="1" x14ac:dyDescent="0.25">
      <c r="B539">
        <v>2705</v>
      </c>
      <c r="C539" s="54" t="s">
        <v>274</v>
      </c>
      <c r="D539" s="54"/>
      <c r="E539" s="46">
        <v>6915.7374011560696</v>
      </c>
      <c r="F539">
        <v>1</v>
      </c>
      <c r="G539" t="s">
        <v>34</v>
      </c>
      <c r="I539" s="46">
        <v>0</v>
      </c>
      <c r="J539" s="46">
        <v>4635.7374011560696</v>
      </c>
      <c r="K539" s="46">
        <v>2280</v>
      </c>
      <c r="L539" s="46">
        <v>0</v>
      </c>
      <c r="M539" s="46">
        <v>0</v>
      </c>
      <c r="N539" s="46">
        <v>0</v>
      </c>
    </row>
    <row r="540" spans="2:14" outlineLevel="1" x14ac:dyDescent="0.25">
      <c r="C540" s="51" t="s">
        <v>295</v>
      </c>
      <c r="D540" s="51"/>
      <c r="E540" s="46">
        <v>19543.792456830601</v>
      </c>
      <c r="F540">
        <v>8</v>
      </c>
      <c r="G540" t="s">
        <v>39</v>
      </c>
      <c r="I540" s="46">
        <v>0</v>
      </c>
      <c r="J540" s="46">
        <v>11383.5962188306</v>
      </c>
      <c r="K540" s="46">
        <v>5741.9962379999997</v>
      </c>
      <c r="L540" s="46">
        <v>2418.1999999999998</v>
      </c>
      <c r="M540" s="46">
        <v>0</v>
      </c>
      <c r="N540" s="46">
        <v>0</v>
      </c>
    </row>
    <row r="541" spans="2:14" outlineLevel="1" x14ac:dyDescent="0.25">
      <c r="B541">
        <v>2705</v>
      </c>
      <c r="C541" s="54" t="s">
        <v>274</v>
      </c>
      <c r="D541" s="54"/>
      <c r="E541" s="46">
        <v>17125.5924568306</v>
      </c>
      <c r="F541">
        <v>1</v>
      </c>
      <c r="G541" t="s">
        <v>34</v>
      </c>
      <c r="I541" s="46">
        <v>0</v>
      </c>
      <c r="J541" s="46">
        <v>11383.5962188306</v>
      </c>
      <c r="K541" s="46">
        <v>5741.9962379999997</v>
      </c>
      <c r="L541" s="46">
        <v>0</v>
      </c>
      <c r="M541" s="46">
        <v>0</v>
      </c>
      <c r="N541" s="46">
        <v>0</v>
      </c>
    </row>
    <row r="542" spans="2:14" outlineLevel="1" x14ac:dyDescent="0.25">
      <c r="B542">
        <v>2700</v>
      </c>
      <c r="C542" s="53" t="s">
        <v>277</v>
      </c>
      <c r="D542" s="53"/>
      <c r="E542" s="46">
        <v>2418.1999999999998</v>
      </c>
      <c r="F542">
        <v>1</v>
      </c>
      <c r="G542" t="s">
        <v>34</v>
      </c>
      <c r="I542" s="46">
        <v>0</v>
      </c>
      <c r="J542" s="46">
        <v>0</v>
      </c>
      <c r="K542" s="46">
        <v>0</v>
      </c>
      <c r="L542" s="46">
        <v>2418.1999999999998</v>
      </c>
      <c r="M542" s="46">
        <v>0</v>
      </c>
      <c r="N542" s="46">
        <v>0</v>
      </c>
    </row>
    <row r="543" spans="2:14" outlineLevel="1" x14ac:dyDescent="0.25">
      <c r="C543" s="51" t="s">
        <v>296</v>
      </c>
      <c r="D543" s="51"/>
      <c r="E543" s="46">
        <v>110054.221149658</v>
      </c>
      <c r="F543">
        <v>156</v>
      </c>
      <c r="G543" t="s">
        <v>40</v>
      </c>
      <c r="I543" s="46">
        <v>0</v>
      </c>
      <c r="J543" s="46">
        <v>4635.7374011560696</v>
      </c>
      <c r="K543" s="46">
        <v>3200</v>
      </c>
      <c r="L543" s="46">
        <v>102218.483748502</v>
      </c>
      <c r="M543" s="46">
        <v>0</v>
      </c>
      <c r="N543" s="46">
        <v>0</v>
      </c>
    </row>
    <row r="544" spans="2:14" outlineLevel="1" x14ac:dyDescent="0.25">
      <c r="B544">
        <v>2705</v>
      </c>
      <c r="C544" s="54" t="s">
        <v>274</v>
      </c>
      <c r="D544" s="54"/>
      <c r="E544" s="46">
        <v>7835.7374011560696</v>
      </c>
      <c r="F544">
        <v>1</v>
      </c>
      <c r="G544" t="s">
        <v>34</v>
      </c>
      <c r="I544" s="46">
        <v>0</v>
      </c>
      <c r="J544" s="46">
        <v>4635.7374011560696</v>
      </c>
      <c r="K544" s="46">
        <v>3200</v>
      </c>
      <c r="L544" s="46">
        <v>0</v>
      </c>
      <c r="M544" s="46">
        <v>0</v>
      </c>
      <c r="N544" s="46">
        <v>0</v>
      </c>
    </row>
    <row r="545" spans="2:14" outlineLevel="1" x14ac:dyDescent="0.25">
      <c r="B545">
        <v>2700</v>
      </c>
      <c r="C545" s="53" t="s">
        <v>277</v>
      </c>
      <c r="D545" s="53"/>
      <c r="E545" s="46">
        <v>102218.483748502</v>
      </c>
      <c r="F545">
        <v>1</v>
      </c>
      <c r="G545" t="s">
        <v>34</v>
      </c>
      <c r="I545" s="46">
        <v>0</v>
      </c>
      <c r="J545" s="46">
        <v>0</v>
      </c>
      <c r="K545" s="46">
        <v>0</v>
      </c>
      <c r="L545" s="46">
        <v>102218.483748502</v>
      </c>
      <c r="M545" s="46">
        <v>0</v>
      </c>
      <c r="N545" s="46">
        <v>0</v>
      </c>
    </row>
    <row r="546" spans="2:14" outlineLevel="1" x14ac:dyDescent="0.25">
      <c r="C546" s="47" t="s">
        <v>297</v>
      </c>
      <c r="D546" s="47"/>
      <c r="E546" s="46">
        <v>130965.25410735099</v>
      </c>
      <c r="F546">
        <v>1</v>
      </c>
      <c r="G546" t="s">
        <v>34</v>
      </c>
      <c r="I546" s="46">
        <v>0</v>
      </c>
      <c r="J546" s="46">
        <v>28752.1059440348</v>
      </c>
      <c r="K546" s="46">
        <v>9506.4729974358997</v>
      </c>
      <c r="L546" s="46">
        <v>92686.892557184896</v>
      </c>
      <c r="M546" s="46">
        <v>0</v>
      </c>
      <c r="N546" s="46">
        <v>19.7826086956522</v>
      </c>
    </row>
    <row r="547" spans="2:14" outlineLevel="1" x14ac:dyDescent="0.25">
      <c r="C547" s="50" t="s">
        <v>273</v>
      </c>
      <c r="D547" s="50"/>
      <c r="E547" s="46">
        <v>9355.0779706807298</v>
      </c>
      <c r="F547">
        <v>25</v>
      </c>
      <c r="G547" t="s">
        <v>39</v>
      </c>
      <c r="I547" s="46">
        <v>0</v>
      </c>
      <c r="J547" s="46">
        <v>2245.8583883922602</v>
      </c>
      <c r="K547" s="46">
        <v>0</v>
      </c>
      <c r="L547" s="46">
        <v>7109.2195822884696</v>
      </c>
      <c r="M547" s="46">
        <v>0</v>
      </c>
      <c r="N547" s="46">
        <v>0</v>
      </c>
    </row>
    <row r="548" spans="2:14" outlineLevel="1" x14ac:dyDescent="0.25">
      <c r="B548">
        <v>2705</v>
      </c>
      <c r="C548" s="52" t="s">
        <v>274</v>
      </c>
      <c r="D548" s="52"/>
      <c r="E548" s="46">
        <v>2245.8583883922602</v>
      </c>
      <c r="F548">
        <v>1</v>
      </c>
      <c r="G548" t="s">
        <v>34</v>
      </c>
      <c r="I548" s="46">
        <v>0</v>
      </c>
      <c r="J548" s="46">
        <v>2245.8583883922602</v>
      </c>
      <c r="K548" s="46">
        <v>0</v>
      </c>
      <c r="L548" s="46">
        <v>0</v>
      </c>
      <c r="M548" s="46">
        <v>0</v>
      </c>
      <c r="N548" s="46">
        <v>0</v>
      </c>
    </row>
    <row r="549" spans="2:14" outlineLevel="1" x14ac:dyDescent="0.25">
      <c r="B549">
        <v>2700</v>
      </c>
      <c r="C549" s="51" t="s">
        <v>277</v>
      </c>
      <c r="D549" s="51"/>
      <c r="E549" s="46">
        <v>7109.2195822884696</v>
      </c>
      <c r="F549">
        <v>1</v>
      </c>
      <c r="G549" t="s">
        <v>34</v>
      </c>
      <c r="I549" s="46">
        <v>0</v>
      </c>
      <c r="J549" s="46">
        <v>0</v>
      </c>
      <c r="K549" s="46">
        <v>0</v>
      </c>
      <c r="L549" s="46">
        <v>7109.2195822884696</v>
      </c>
      <c r="M549" s="46">
        <v>0</v>
      </c>
      <c r="N549" s="46">
        <v>0</v>
      </c>
    </row>
    <row r="550" spans="2:14" outlineLevel="1" x14ac:dyDescent="0.25">
      <c r="C550" s="48" t="s">
        <v>276</v>
      </c>
      <c r="D550" s="48"/>
      <c r="E550" s="46">
        <v>11188.7449906449</v>
      </c>
      <c r="F550">
        <v>2</v>
      </c>
      <c r="G550" t="s">
        <v>39</v>
      </c>
      <c r="I550" s="46">
        <v>0</v>
      </c>
      <c r="J550" s="46">
        <v>2673.70274523121</v>
      </c>
      <c r="K550" s="46">
        <v>0</v>
      </c>
      <c r="L550" s="46">
        <v>8515.0422454137206</v>
      </c>
      <c r="M550" s="46">
        <v>0</v>
      </c>
      <c r="N550" s="46">
        <v>0</v>
      </c>
    </row>
    <row r="551" spans="2:14" outlineLevel="1" x14ac:dyDescent="0.25">
      <c r="B551">
        <v>2705</v>
      </c>
      <c r="C551" s="52" t="s">
        <v>274</v>
      </c>
      <c r="D551" s="52"/>
      <c r="E551" s="46">
        <v>2673.70274523121</v>
      </c>
      <c r="F551">
        <v>1</v>
      </c>
      <c r="G551" t="s">
        <v>34</v>
      </c>
      <c r="I551" s="46">
        <v>0</v>
      </c>
      <c r="J551" s="46">
        <v>2673.70274523121</v>
      </c>
      <c r="K551" s="46">
        <v>0</v>
      </c>
      <c r="L551" s="46">
        <v>0</v>
      </c>
      <c r="M551" s="46">
        <v>0</v>
      </c>
      <c r="N551" s="46">
        <v>0</v>
      </c>
    </row>
    <row r="552" spans="2:14" outlineLevel="1" x14ac:dyDescent="0.25">
      <c r="B552">
        <v>2700</v>
      </c>
      <c r="C552" s="51" t="s">
        <v>277</v>
      </c>
      <c r="D552" s="51"/>
      <c r="E552" s="46">
        <v>8515.0422454137206</v>
      </c>
      <c r="F552">
        <v>1</v>
      </c>
      <c r="G552" t="s">
        <v>34</v>
      </c>
      <c r="I552" s="46">
        <v>0</v>
      </c>
      <c r="J552" s="46">
        <v>0</v>
      </c>
      <c r="K552" s="46">
        <v>0</v>
      </c>
      <c r="L552" s="46">
        <v>8515.0422454137206</v>
      </c>
      <c r="M552" s="46">
        <v>0</v>
      </c>
      <c r="N552" s="46">
        <v>0</v>
      </c>
    </row>
    <row r="553" spans="2:14" outlineLevel="1" x14ac:dyDescent="0.25">
      <c r="C553" s="48" t="s">
        <v>278</v>
      </c>
      <c r="D553" s="48"/>
      <c r="E553" s="46">
        <v>16793.690116600101</v>
      </c>
      <c r="F553">
        <v>2</v>
      </c>
      <c r="G553" t="s">
        <v>39</v>
      </c>
      <c r="I553" s="46">
        <v>0</v>
      </c>
      <c r="J553" s="46">
        <v>2575.2509520231201</v>
      </c>
      <c r="K553" s="46">
        <v>0</v>
      </c>
      <c r="L553" s="46">
        <v>14218.439164576899</v>
      </c>
      <c r="M553" s="46">
        <v>0</v>
      </c>
      <c r="N553" s="46">
        <v>0</v>
      </c>
    </row>
    <row r="554" spans="2:14" outlineLevel="1" x14ac:dyDescent="0.25">
      <c r="B554">
        <v>2705</v>
      </c>
      <c r="C554" s="51" t="s">
        <v>274</v>
      </c>
      <c r="D554" s="51"/>
      <c r="E554" s="46">
        <v>2575.2509520231201</v>
      </c>
      <c r="F554">
        <v>1</v>
      </c>
      <c r="G554" t="s">
        <v>34</v>
      </c>
      <c r="I554" s="46">
        <v>0</v>
      </c>
      <c r="J554" s="46">
        <v>2575.2509520231201</v>
      </c>
      <c r="K554" s="46">
        <v>0</v>
      </c>
      <c r="L554" s="46">
        <v>0</v>
      </c>
      <c r="M554" s="46">
        <v>0</v>
      </c>
      <c r="N554" s="46">
        <v>0</v>
      </c>
    </row>
    <row r="555" spans="2:14" outlineLevel="1" x14ac:dyDescent="0.25">
      <c r="B555">
        <v>2700</v>
      </c>
      <c r="C555" s="51" t="s">
        <v>277</v>
      </c>
      <c r="D555" s="51"/>
      <c r="E555" s="46">
        <v>14218.439164576899</v>
      </c>
      <c r="F555">
        <v>1</v>
      </c>
      <c r="G555" t="s">
        <v>34</v>
      </c>
      <c r="I555" s="46">
        <v>0</v>
      </c>
      <c r="J555" s="46">
        <v>0</v>
      </c>
      <c r="K555" s="46">
        <v>0</v>
      </c>
      <c r="L555" s="46">
        <v>14218.439164576899</v>
      </c>
      <c r="M555" s="46">
        <v>0</v>
      </c>
      <c r="N555" s="46">
        <v>0</v>
      </c>
    </row>
    <row r="556" spans="2:14" outlineLevel="1" x14ac:dyDescent="0.25">
      <c r="C556" s="48" t="s">
        <v>281</v>
      </c>
      <c r="D556" s="48"/>
      <c r="E556" s="46">
        <v>3936.3892250058998</v>
      </c>
      <c r="F556">
        <v>100</v>
      </c>
      <c r="G556" t="s">
        <v>40</v>
      </c>
      <c r="I556" s="46">
        <v>0</v>
      </c>
      <c r="J556" s="46">
        <v>643.81273800578003</v>
      </c>
      <c r="K556" s="46">
        <v>0</v>
      </c>
      <c r="L556" s="46">
        <v>3292.5764870001199</v>
      </c>
      <c r="M556" s="46">
        <v>0</v>
      </c>
      <c r="N556" s="46">
        <v>0</v>
      </c>
    </row>
    <row r="557" spans="2:14" outlineLevel="1" x14ac:dyDescent="0.25">
      <c r="B557">
        <v>2705</v>
      </c>
      <c r="C557" s="51" t="s">
        <v>274</v>
      </c>
      <c r="D557" s="51"/>
      <c r="E557" s="46">
        <v>643.81273800578003</v>
      </c>
      <c r="F557">
        <v>1</v>
      </c>
      <c r="G557" t="s">
        <v>34</v>
      </c>
      <c r="I557" s="46">
        <v>0</v>
      </c>
      <c r="J557" s="46">
        <v>643.81273800578003</v>
      </c>
      <c r="K557" s="46">
        <v>0</v>
      </c>
      <c r="L557" s="46">
        <v>0</v>
      </c>
      <c r="M557" s="46">
        <v>0</v>
      </c>
      <c r="N557" s="46">
        <v>0</v>
      </c>
    </row>
    <row r="558" spans="2:14" outlineLevel="1" x14ac:dyDescent="0.25">
      <c r="B558">
        <v>2700</v>
      </c>
      <c r="C558" s="51" t="s">
        <v>277</v>
      </c>
      <c r="D558" s="51"/>
      <c r="E558" s="46">
        <v>3292.5764870001199</v>
      </c>
      <c r="F558">
        <v>1</v>
      </c>
      <c r="G558" t="s">
        <v>34</v>
      </c>
      <c r="I558" s="46">
        <v>0</v>
      </c>
      <c r="J558" s="46">
        <v>0</v>
      </c>
      <c r="K558" s="46">
        <v>0</v>
      </c>
      <c r="L558" s="46">
        <v>3292.5764870001199</v>
      </c>
      <c r="M558" s="46">
        <v>0</v>
      </c>
      <c r="N558" s="46">
        <v>0</v>
      </c>
    </row>
    <row r="559" spans="2:14" outlineLevel="1" x14ac:dyDescent="0.25">
      <c r="C559" s="48" t="s">
        <v>282</v>
      </c>
      <c r="D559" s="48"/>
      <c r="E559" s="46">
        <v>2203.0836211709502</v>
      </c>
      <c r="F559">
        <v>660</v>
      </c>
      <c r="G559" t="s">
        <v>40</v>
      </c>
      <c r="I559" s="46">
        <v>0</v>
      </c>
      <c r="J559" s="46">
        <v>764.89667119075204</v>
      </c>
      <c r="K559" s="46">
        <v>0</v>
      </c>
      <c r="L559" s="46">
        <v>1438.1869499802001</v>
      </c>
      <c r="M559" s="46">
        <v>0</v>
      </c>
      <c r="N559" s="46">
        <v>0</v>
      </c>
    </row>
    <row r="560" spans="2:14" outlineLevel="1" x14ac:dyDescent="0.25">
      <c r="B560">
        <v>2705</v>
      </c>
      <c r="C560" s="48" t="s">
        <v>274</v>
      </c>
      <c r="D560" s="48"/>
      <c r="E560" s="46">
        <v>764.89667119075204</v>
      </c>
      <c r="F560">
        <v>1</v>
      </c>
      <c r="G560" t="s">
        <v>34</v>
      </c>
      <c r="I560" s="46">
        <v>0</v>
      </c>
      <c r="J560" s="46">
        <v>764.89667119075204</v>
      </c>
      <c r="K560" s="46">
        <v>0</v>
      </c>
      <c r="L560" s="46">
        <v>0</v>
      </c>
      <c r="M560" s="46">
        <v>0</v>
      </c>
      <c r="N560" s="46">
        <v>0</v>
      </c>
    </row>
    <row r="561" spans="2:14" outlineLevel="1" x14ac:dyDescent="0.25">
      <c r="B561">
        <v>2700</v>
      </c>
      <c r="C561" s="48" t="s">
        <v>277</v>
      </c>
      <c r="D561" s="48"/>
      <c r="E561" s="46">
        <v>1438.1869499802001</v>
      </c>
      <c r="F561">
        <v>1</v>
      </c>
      <c r="G561" t="s">
        <v>34</v>
      </c>
      <c r="I561" s="46">
        <v>0</v>
      </c>
      <c r="J561" s="46">
        <v>0</v>
      </c>
      <c r="K561" s="46">
        <v>0</v>
      </c>
      <c r="L561" s="46">
        <v>1438.1869499802001</v>
      </c>
      <c r="M561" s="46">
        <v>0</v>
      </c>
      <c r="N561" s="46">
        <v>0</v>
      </c>
    </row>
    <row r="562" spans="2:14" outlineLevel="1" x14ac:dyDescent="0.25">
      <c r="C562" s="48" t="s">
        <v>283</v>
      </c>
      <c r="D562" s="48"/>
      <c r="E562" s="46">
        <v>1579.09369504803</v>
      </c>
      <c r="F562">
        <v>100</v>
      </c>
      <c r="G562" t="s">
        <v>41</v>
      </c>
      <c r="I562" s="46">
        <v>0</v>
      </c>
      <c r="J562" s="46">
        <v>705.63291010770695</v>
      </c>
      <c r="K562" s="46">
        <v>133.416666666667</v>
      </c>
      <c r="L562" s="46">
        <v>720.26150957799996</v>
      </c>
      <c r="M562" s="46">
        <v>0</v>
      </c>
      <c r="N562" s="46">
        <v>19.7826086956522</v>
      </c>
    </row>
    <row r="563" spans="2:14" outlineLevel="1" x14ac:dyDescent="0.25">
      <c r="C563" s="48" t="s">
        <v>284</v>
      </c>
      <c r="D563" s="48"/>
      <c r="E563" s="46">
        <v>346.27268848852299</v>
      </c>
      <c r="F563">
        <v>100</v>
      </c>
      <c r="G563" t="s">
        <v>41</v>
      </c>
      <c r="I563" s="46">
        <v>0</v>
      </c>
      <c r="J563" s="46">
        <v>154.22341312620401</v>
      </c>
      <c r="K563" s="46">
        <v>133.416666666667</v>
      </c>
      <c r="L563" s="46">
        <v>38.85</v>
      </c>
      <c r="M563" s="46">
        <v>0</v>
      </c>
      <c r="N563" s="46">
        <v>19.7826086956522</v>
      </c>
    </row>
    <row r="564" spans="2:14" outlineLevel="1" x14ac:dyDescent="0.25">
      <c r="B564">
        <v>2156</v>
      </c>
      <c r="C564" s="48" t="s">
        <v>82</v>
      </c>
      <c r="D564" s="48"/>
      <c r="E564" s="46">
        <v>287.64007979287101</v>
      </c>
      <c r="F564">
        <v>100</v>
      </c>
      <c r="G564" t="s">
        <v>41</v>
      </c>
      <c r="I564" s="46">
        <v>0</v>
      </c>
      <c r="J564" s="46">
        <v>154.22341312620401</v>
      </c>
      <c r="K564" s="46">
        <v>133.416666666667</v>
      </c>
      <c r="L564" s="46">
        <v>0</v>
      </c>
      <c r="M564" s="46">
        <v>0</v>
      </c>
      <c r="N564" s="46">
        <v>0</v>
      </c>
    </row>
    <row r="565" spans="2:14" outlineLevel="1" x14ac:dyDescent="0.25">
      <c r="B565">
        <v>2183</v>
      </c>
      <c r="C565" s="48" t="s">
        <v>80</v>
      </c>
      <c r="D565" s="48"/>
      <c r="E565" s="46">
        <v>38.85</v>
      </c>
      <c r="F565">
        <v>3.5</v>
      </c>
      <c r="G565" t="s">
        <v>43</v>
      </c>
      <c r="I565" s="46">
        <v>0</v>
      </c>
      <c r="J565" s="46">
        <v>0</v>
      </c>
      <c r="K565" s="46">
        <v>0</v>
      </c>
      <c r="L565" s="46">
        <v>38.85</v>
      </c>
      <c r="M565" s="46">
        <v>0</v>
      </c>
      <c r="N565" s="46">
        <v>0</v>
      </c>
    </row>
    <row r="566" spans="2:14" outlineLevel="1" x14ac:dyDescent="0.25">
      <c r="B566">
        <v>2149</v>
      </c>
      <c r="C566" s="48" t="s">
        <v>48</v>
      </c>
      <c r="D566" s="48"/>
      <c r="E566" s="46">
        <v>19.7826086956522</v>
      </c>
      <c r="F566">
        <v>3.5</v>
      </c>
      <c r="G566" t="s">
        <v>43</v>
      </c>
      <c r="I566" s="46">
        <v>0</v>
      </c>
      <c r="J566" s="46">
        <v>0</v>
      </c>
      <c r="K566" s="46">
        <v>0</v>
      </c>
      <c r="L566" s="46">
        <v>0</v>
      </c>
      <c r="M566" s="46">
        <v>0</v>
      </c>
      <c r="N566" s="46">
        <v>19.7826086956522</v>
      </c>
    </row>
    <row r="567" spans="2:14" outlineLevel="1" x14ac:dyDescent="0.25">
      <c r="C567" s="48" t="s">
        <v>285</v>
      </c>
      <c r="D567" s="48"/>
      <c r="E567" s="46">
        <v>780.80534846701698</v>
      </c>
      <c r="F567">
        <v>100</v>
      </c>
      <c r="G567" t="s">
        <v>41</v>
      </c>
      <c r="I567" s="46">
        <v>0</v>
      </c>
      <c r="J567" s="46">
        <v>459.26213888901702</v>
      </c>
      <c r="K567" s="46">
        <v>0</v>
      </c>
      <c r="L567" s="46">
        <v>321.54320957800002</v>
      </c>
      <c r="M567" s="46">
        <v>0</v>
      </c>
      <c r="N567" s="46">
        <v>0</v>
      </c>
    </row>
    <row r="568" spans="2:14" outlineLevel="1" x14ac:dyDescent="0.25">
      <c r="B568">
        <v>3254</v>
      </c>
      <c r="C568" s="48" t="s">
        <v>84</v>
      </c>
      <c r="D568" s="48"/>
      <c r="E568" s="46">
        <v>780.80534846701698</v>
      </c>
      <c r="F568">
        <v>100</v>
      </c>
      <c r="G568" t="s">
        <v>41</v>
      </c>
      <c r="I568" s="46">
        <v>0</v>
      </c>
      <c r="J568" s="46">
        <v>459.26213888901702</v>
      </c>
      <c r="K568" s="46">
        <v>0</v>
      </c>
      <c r="L568" s="46">
        <v>321.54320957800002</v>
      </c>
      <c r="M568" s="46">
        <v>0</v>
      </c>
      <c r="N568" s="46">
        <v>0</v>
      </c>
    </row>
    <row r="569" spans="2:14" outlineLevel="1" x14ac:dyDescent="0.25">
      <c r="B569">
        <v>3710</v>
      </c>
      <c r="C569" s="48" t="s">
        <v>286</v>
      </c>
      <c r="D569" s="48"/>
      <c r="E569" s="46">
        <v>452.01565809248598</v>
      </c>
      <c r="F569">
        <v>50</v>
      </c>
      <c r="G569" t="s">
        <v>40</v>
      </c>
      <c r="I569" s="46">
        <v>0</v>
      </c>
      <c r="J569" s="46">
        <v>92.147358092485604</v>
      </c>
      <c r="K569" s="46">
        <v>0</v>
      </c>
      <c r="L569" s="46">
        <v>359.86829999999998</v>
      </c>
      <c r="M569" s="46">
        <v>0</v>
      </c>
      <c r="N569" s="46">
        <v>0</v>
      </c>
    </row>
    <row r="570" spans="2:14" outlineLevel="1" x14ac:dyDescent="0.25">
      <c r="C570" s="48" t="s">
        <v>290</v>
      </c>
      <c r="D570" s="48"/>
      <c r="E570" s="46">
        <v>988.09805286546998</v>
      </c>
      <c r="F570">
        <v>3</v>
      </c>
      <c r="G570" t="s">
        <v>39</v>
      </c>
      <c r="I570" s="46">
        <v>0</v>
      </c>
      <c r="J570" s="46">
        <v>267.370274523121</v>
      </c>
      <c r="K570" s="46">
        <v>0</v>
      </c>
      <c r="L570" s="46">
        <v>720.72777834234796</v>
      </c>
      <c r="M570" s="46">
        <v>0</v>
      </c>
      <c r="N570" s="46">
        <v>0</v>
      </c>
    </row>
    <row r="571" spans="2:14" outlineLevel="1" x14ac:dyDescent="0.25">
      <c r="B571">
        <v>2705</v>
      </c>
      <c r="C571" s="50" t="s">
        <v>274</v>
      </c>
      <c r="D571" s="50"/>
      <c r="E571" s="46">
        <v>267.370274523121</v>
      </c>
      <c r="F571">
        <v>1</v>
      </c>
      <c r="G571" t="s">
        <v>34</v>
      </c>
      <c r="I571" s="46">
        <v>0</v>
      </c>
      <c r="J571" s="46">
        <v>267.370274523121</v>
      </c>
      <c r="K571" s="46">
        <v>0</v>
      </c>
      <c r="L571" s="46">
        <v>0</v>
      </c>
      <c r="M571" s="46">
        <v>0</v>
      </c>
      <c r="N571" s="46">
        <v>0</v>
      </c>
    </row>
    <row r="572" spans="2:14" outlineLevel="1" x14ac:dyDescent="0.25">
      <c r="B572">
        <v>2700</v>
      </c>
      <c r="C572" s="48" t="s">
        <v>277</v>
      </c>
      <c r="D572" s="48"/>
      <c r="E572" s="46">
        <v>720.72777834234796</v>
      </c>
      <c r="F572">
        <v>1</v>
      </c>
      <c r="G572" t="s">
        <v>34</v>
      </c>
      <c r="I572" s="46">
        <v>0</v>
      </c>
      <c r="J572" s="46">
        <v>0</v>
      </c>
      <c r="K572" s="46">
        <v>0</v>
      </c>
      <c r="L572" s="46">
        <v>720.72777834234796</v>
      </c>
      <c r="M572" s="46">
        <v>0</v>
      </c>
      <c r="N572" s="46">
        <v>0</v>
      </c>
    </row>
    <row r="573" spans="2:14" outlineLevel="1" x14ac:dyDescent="0.25">
      <c r="C573" s="48" t="s">
        <v>291</v>
      </c>
      <c r="D573" s="48"/>
      <c r="E573" s="46">
        <v>1957.31525910608</v>
      </c>
      <c r="F573">
        <v>3</v>
      </c>
      <c r="G573" t="s">
        <v>39</v>
      </c>
      <c r="I573" s="46">
        <v>0</v>
      </c>
      <c r="J573" s="46">
        <v>1115.81309809249</v>
      </c>
      <c r="K573" s="46">
        <v>0</v>
      </c>
      <c r="L573" s="46">
        <v>841.50216101359104</v>
      </c>
      <c r="M573" s="46">
        <v>0</v>
      </c>
      <c r="N573" s="46">
        <v>0</v>
      </c>
    </row>
    <row r="574" spans="2:14" outlineLevel="1" x14ac:dyDescent="0.25">
      <c r="B574">
        <v>2705</v>
      </c>
      <c r="C574" s="50" t="s">
        <v>274</v>
      </c>
      <c r="D574" s="50"/>
      <c r="E574" s="46">
        <v>1115.81309809249</v>
      </c>
      <c r="F574">
        <v>1</v>
      </c>
      <c r="G574" t="s">
        <v>34</v>
      </c>
      <c r="I574" s="46">
        <v>0</v>
      </c>
      <c r="J574" s="46">
        <v>1115.81309809249</v>
      </c>
      <c r="K574" s="46">
        <v>0</v>
      </c>
      <c r="L574" s="46">
        <v>0</v>
      </c>
      <c r="M574" s="46">
        <v>0</v>
      </c>
      <c r="N574" s="46">
        <v>0</v>
      </c>
    </row>
    <row r="575" spans="2:14" outlineLevel="1" x14ac:dyDescent="0.25">
      <c r="B575">
        <v>2700</v>
      </c>
      <c r="C575" s="48" t="s">
        <v>277</v>
      </c>
      <c r="D575" s="48"/>
      <c r="E575" s="46">
        <v>841.50216101359104</v>
      </c>
      <c r="F575">
        <v>1</v>
      </c>
      <c r="G575" t="s">
        <v>34</v>
      </c>
      <c r="I575" s="46">
        <v>0</v>
      </c>
      <c r="J575" s="46">
        <v>0</v>
      </c>
      <c r="K575" s="46">
        <v>0</v>
      </c>
      <c r="L575" s="46">
        <v>841.50216101359104</v>
      </c>
      <c r="M575" s="46">
        <v>0</v>
      </c>
      <c r="N575" s="46">
        <v>0</v>
      </c>
    </row>
    <row r="576" spans="2:14" outlineLevel="1" x14ac:dyDescent="0.25">
      <c r="C576" s="48" t="s">
        <v>292</v>
      </c>
      <c r="D576" s="48"/>
      <c r="E576" s="46">
        <v>2048.7582598372801</v>
      </c>
      <c r="F576">
        <v>3</v>
      </c>
      <c r="G576" t="s">
        <v>39</v>
      </c>
      <c r="I576" s="46">
        <v>0</v>
      </c>
      <c r="J576" s="46">
        <v>1115.81309809249</v>
      </c>
      <c r="K576" s="46">
        <v>0</v>
      </c>
      <c r="L576" s="46">
        <v>932.94516174479804</v>
      </c>
      <c r="M576" s="46">
        <v>0</v>
      </c>
      <c r="N576" s="46">
        <v>0</v>
      </c>
    </row>
    <row r="577" spans="2:14" outlineLevel="1" x14ac:dyDescent="0.25">
      <c r="B577">
        <v>2705</v>
      </c>
      <c r="C577" s="50" t="s">
        <v>274</v>
      </c>
      <c r="D577" s="50"/>
      <c r="E577" s="46">
        <v>1115.81309809249</v>
      </c>
      <c r="F577">
        <v>1</v>
      </c>
      <c r="G577" t="s">
        <v>34</v>
      </c>
      <c r="I577" s="46">
        <v>0</v>
      </c>
      <c r="J577" s="46">
        <v>1115.81309809249</v>
      </c>
      <c r="K577" s="46">
        <v>0</v>
      </c>
      <c r="L577" s="46">
        <v>0</v>
      </c>
      <c r="M577" s="46">
        <v>0</v>
      </c>
      <c r="N577" s="46">
        <v>0</v>
      </c>
    </row>
    <row r="578" spans="2:14" outlineLevel="1" x14ac:dyDescent="0.25">
      <c r="B578">
        <v>2700</v>
      </c>
      <c r="C578" s="48" t="s">
        <v>277</v>
      </c>
      <c r="D578" s="48"/>
      <c r="E578" s="46">
        <v>932.94516174479804</v>
      </c>
      <c r="F578">
        <v>1</v>
      </c>
      <c r="G578" t="s">
        <v>34</v>
      </c>
      <c r="I578" s="46">
        <v>0</v>
      </c>
      <c r="J578" s="46">
        <v>0</v>
      </c>
      <c r="K578" s="46">
        <v>0</v>
      </c>
      <c r="L578" s="46">
        <v>932.94516174479804</v>
      </c>
      <c r="M578" s="46">
        <v>0</v>
      </c>
      <c r="N578" s="46">
        <v>0</v>
      </c>
    </row>
    <row r="579" spans="2:14" outlineLevel="1" x14ac:dyDescent="0.25">
      <c r="C579" s="48" t="s">
        <v>298</v>
      </c>
      <c r="D579" s="48"/>
      <c r="E579" s="46">
        <v>80915.002916391793</v>
      </c>
      <c r="F579">
        <v>177</v>
      </c>
      <c r="G579" t="s">
        <v>40</v>
      </c>
      <c r="I579" s="46">
        <v>0</v>
      </c>
      <c r="J579" s="46">
        <v>16643.955068375901</v>
      </c>
      <c r="K579" s="46">
        <v>9373.05633076923</v>
      </c>
      <c r="L579" s="46">
        <v>54897.991517246701</v>
      </c>
      <c r="M579" s="46">
        <v>0</v>
      </c>
      <c r="N579" s="46">
        <v>0</v>
      </c>
    </row>
    <row r="580" spans="2:14" outlineLevel="1" x14ac:dyDescent="0.25">
      <c r="C580" s="48" t="s">
        <v>295</v>
      </c>
      <c r="D580" s="48"/>
      <c r="E580" s="46">
        <v>19544.784103987298</v>
      </c>
      <c r="F580">
        <v>8</v>
      </c>
      <c r="G580" t="s">
        <v>39</v>
      </c>
      <c r="I580" s="46">
        <v>0</v>
      </c>
      <c r="J580" s="46">
        <v>11384.1760939873</v>
      </c>
      <c r="K580" s="46">
        <v>5742.2870999999996</v>
      </c>
      <c r="L580" s="46">
        <v>2418.3209099999999</v>
      </c>
      <c r="M580" s="46">
        <v>0</v>
      </c>
      <c r="N580" s="46">
        <v>0</v>
      </c>
    </row>
    <row r="581" spans="2:14" outlineLevel="1" x14ac:dyDescent="0.25">
      <c r="B581">
        <v>2700</v>
      </c>
      <c r="C581" s="48" t="s">
        <v>277</v>
      </c>
      <c r="D581" s="48"/>
      <c r="E581" s="46">
        <v>2418.3209099999999</v>
      </c>
      <c r="F581">
        <v>1</v>
      </c>
      <c r="G581" t="s">
        <v>34</v>
      </c>
      <c r="I581" s="46">
        <v>0</v>
      </c>
      <c r="J581" s="46">
        <v>0</v>
      </c>
      <c r="K581" s="46">
        <v>0</v>
      </c>
      <c r="L581" s="46">
        <v>2418.3209099999999</v>
      </c>
      <c r="M581" s="46">
        <v>0</v>
      </c>
      <c r="N581" s="46">
        <v>0</v>
      </c>
    </row>
    <row r="582" spans="2:14" outlineLevel="1" x14ac:dyDescent="0.25">
      <c r="B582">
        <v>2705</v>
      </c>
      <c r="C582" s="50" t="s">
        <v>274</v>
      </c>
      <c r="D582" s="50"/>
      <c r="E582" s="46">
        <v>17126.4631939873</v>
      </c>
      <c r="F582">
        <v>1</v>
      </c>
      <c r="G582" t="s">
        <v>34</v>
      </c>
      <c r="I582" s="46">
        <v>0</v>
      </c>
      <c r="J582" s="46">
        <v>11384.1760939873</v>
      </c>
      <c r="K582" s="46">
        <v>5742.2870999999996</v>
      </c>
      <c r="L582" s="46">
        <v>0</v>
      </c>
      <c r="M582" s="46">
        <v>0</v>
      </c>
      <c r="N582" s="46">
        <v>0</v>
      </c>
    </row>
    <row r="583" spans="2:14" outlineLevel="1" x14ac:dyDescent="0.25">
      <c r="C583" s="48" t="s">
        <v>299</v>
      </c>
      <c r="D583" s="48"/>
      <c r="E583" s="46">
        <v>61370.218812404499</v>
      </c>
      <c r="F583">
        <v>177</v>
      </c>
      <c r="G583" t="s">
        <v>40</v>
      </c>
      <c r="I583" s="46">
        <v>0</v>
      </c>
      <c r="J583" s="46">
        <v>5259.7789743886196</v>
      </c>
      <c r="K583" s="46">
        <v>3630.76923076923</v>
      </c>
      <c r="L583" s="46">
        <v>52479.670607246699</v>
      </c>
      <c r="M583" s="46">
        <v>0</v>
      </c>
      <c r="N583" s="46">
        <v>0</v>
      </c>
    </row>
    <row r="584" spans="2:14" outlineLevel="1" x14ac:dyDescent="0.25">
      <c r="B584">
        <v>2700</v>
      </c>
      <c r="C584" s="48" t="s">
        <v>277</v>
      </c>
      <c r="D584" s="48"/>
      <c r="E584" s="46">
        <v>52479.670607246699</v>
      </c>
      <c r="F584">
        <v>1</v>
      </c>
      <c r="G584" t="s">
        <v>34</v>
      </c>
      <c r="I584" s="46">
        <v>0</v>
      </c>
      <c r="J584" s="46">
        <v>0</v>
      </c>
      <c r="K584" s="46">
        <v>0</v>
      </c>
      <c r="L584" s="46">
        <v>52479.670607246699</v>
      </c>
      <c r="M584" s="46">
        <v>0</v>
      </c>
      <c r="N584" s="46">
        <v>0</v>
      </c>
    </row>
    <row r="585" spans="2:14" outlineLevel="1" x14ac:dyDescent="0.25">
      <c r="B585">
        <v>2705</v>
      </c>
      <c r="C585" s="50" t="s">
        <v>274</v>
      </c>
      <c r="D585" s="50"/>
      <c r="E585" s="46">
        <v>8890.5482051578492</v>
      </c>
      <c r="F585">
        <v>1</v>
      </c>
      <c r="G585" t="s">
        <v>34</v>
      </c>
      <c r="I585" s="46">
        <v>0</v>
      </c>
      <c r="J585" s="46">
        <v>5259.7789743886196</v>
      </c>
      <c r="K585" s="46">
        <v>3630.76923076923</v>
      </c>
      <c r="L585" s="46">
        <v>0</v>
      </c>
      <c r="M585" s="46">
        <v>0</v>
      </c>
      <c r="N585" s="46">
        <v>0</v>
      </c>
    </row>
    <row r="586" spans="2:14" outlineLevel="1" x14ac:dyDescent="0.25">
      <c r="C586" s="47" t="s">
        <v>300</v>
      </c>
      <c r="D586" s="47"/>
      <c r="E586" s="46">
        <v>227234.39007218901</v>
      </c>
      <c r="F586">
        <v>1</v>
      </c>
      <c r="G586" t="s">
        <v>34</v>
      </c>
      <c r="I586" s="46">
        <v>0</v>
      </c>
      <c r="J586" s="46">
        <v>75744.901279478596</v>
      </c>
      <c r="K586" s="46">
        <v>39581.287100000001</v>
      </c>
      <c r="L586" s="46">
        <v>111908.20169271</v>
      </c>
      <c r="M586" s="46">
        <v>0</v>
      </c>
      <c r="N586" s="46">
        <v>0</v>
      </c>
    </row>
    <row r="587" spans="2:14" outlineLevel="1" x14ac:dyDescent="0.25">
      <c r="C587" s="48" t="s">
        <v>301</v>
      </c>
      <c r="D587" s="48"/>
      <c r="E587" s="46">
        <v>191976.829950757</v>
      </c>
      <c r="F587">
        <v>740</v>
      </c>
      <c r="G587" t="s">
        <v>40</v>
      </c>
      <c r="I587" s="46">
        <v>0</v>
      </c>
      <c r="J587" s="46">
        <v>74199.750708264794</v>
      </c>
      <c r="K587" s="46">
        <v>39581.287100000001</v>
      </c>
      <c r="L587" s="46">
        <v>78195.792142492704</v>
      </c>
      <c r="M587" s="46">
        <v>0</v>
      </c>
      <c r="N587" s="46">
        <v>0</v>
      </c>
    </row>
    <row r="588" spans="2:14" outlineLevel="1" x14ac:dyDescent="0.25">
      <c r="C588" s="48" t="s">
        <v>295</v>
      </c>
      <c r="D588" s="48"/>
      <c r="E588" s="46">
        <v>107491.915215375</v>
      </c>
      <c r="F588">
        <v>44.000399999999999</v>
      </c>
      <c r="G588" t="s">
        <v>39</v>
      </c>
      <c r="I588" s="46">
        <v>0</v>
      </c>
      <c r="J588" s="46">
        <v>62610.407205374599</v>
      </c>
      <c r="K588" s="46">
        <v>31581.287100000001</v>
      </c>
      <c r="L588" s="46">
        <v>13300.22091</v>
      </c>
      <c r="M588" s="46">
        <v>0</v>
      </c>
      <c r="N588" s="46">
        <v>0</v>
      </c>
    </row>
    <row r="589" spans="2:14" outlineLevel="1" x14ac:dyDescent="0.25">
      <c r="B589">
        <v>2700</v>
      </c>
      <c r="C589" s="48" t="s">
        <v>277</v>
      </c>
      <c r="D589" s="48"/>
      <c r="E589" s="46">
        <v>13300.22091</v>
      </c>
      <c r="F589">
        <v>1</v>
      </c>
      <c r="G589" t="s">
        <v>34</v>
      </c>
      <c r="I589" s="46">
        <v>0</v>
      </c>
      <c r="J589" s="46">
        <v>0</v>
      </c>
      <c r="K589" s="46">
        <v>0</v>
      </c>
      <c r="L589" s="46">
        <v>13300.22091</v>
      </c>
      <c r="M589" s="46">
        <v>0</v>
      </c>
      <c r="N589" s="46">
        <v>0</v>
      </c>
    </row>
    <row r="590" spans="2:14" outlineLevel="1" x14ac:dyDescent="0.25">
      <c r="B590">
        <v>2705</v>
      </c>
      <c r="C590" s="50" t="s">
        <v>274</v>
      </c>
      <c r="D590" s="50"/>
      <c r="E590" s="46">
        <v>94191.694305374607</v>
      </c>
      <c r="F590">
        <v>1</v>
      </c>
      <c r="G590" t="s">
        <v>34</v>
      </c>
      <c r="I590" s="46">
        <v>0</v>
      </c>
      <c r="J590" s="46">
        <v>62610.407205374599</v>
      </c>
      <c r="K590" s="46">
        <v>31581.287100000001</v>
      </c>
      <c r="L590" s="46">
        <v>0</v>
      </c>
      <c r="M590" s="46">
        <v>0</v>
      </c>
      <c r="N590" s="46">
        <v>0</v>
      </c>
    </row>
    <row r="591" spans="2:14" outlineLevel="1" x14ac:dyDescent="0.25">
      <c r="C591" s="48" t="s">
        <v>302</v>
      </c>
      <c r="D591" s="48"/>
      <c r="E591" s="46">
        <v>84484.914735382903</v>
      </c>
      <c r="F591">
        <v>740</v>
      </c>
      <c r="G591" t="s">
        <v>40</v>
      </c>
      <c r="I591" s="46">
        <v>0</v>
      </c>
      <c r="J591" s="46">
        <v>11589.3435028902</v>
      </c>
      <c r="K591" s="46">
        <v>8000</v>
      </c>
      <c r="L591" s="46">
        <v>64895.571232492803</v>
      </c>
      <c r="M591" s="46">
        <v>0</v>
      </c>
      <c r="N591" s="46">
        <v>0</v>
      </c>
    </row>
    <row r="592" spans="2:14" outlineLevel="1" x14ac:dyDescent="0.25">
      <c r="B592">
        <v>2700</v>
      </c>
      <c r="C592" s="48" t="s">
        <v>277</v>
      </c>
      <c r="D592" s="48"/>
      <c r="E592" s="46">
        <v>64895.571232492803</v>
      </c>
      <c r="F592">
        <v>1</v>
      </c>
      <c r="G592" t="s">
        <v>34</v>
      </c>
      <c r="I592" s="46">
        <v>0</v>
      </c>
      <c r="J592" s="46">
        <v>0</v>
      </c>
      <c r="K592" s="46">
        <v>0</v>
      </c>
      <c r="L592" s="46">
        <v>64895.571232492803</v>
      </c>
      <c r="M592" s="46">
        <v>0</v>
      </c>
      <c r="N592" s="46">
        <v>0</v>
      </c>
    </row>
    <row r="593" spans="1:14" outlineLevel="1" x14ac:dyDescent="0.25">
      <c r="B593">
        <v>2705</v>
      </c>
      <c r="C593" s="50" t="s">
        <v>274</v>
      </c>
      <c r="D593" s="50"/>
      <c r="E593" s="46">
        <v>19589.343502890199</v>
      </c>
      <c r="F593">
        <v>1</v>
      </c>
      <c r="G593" t="s">
        <v>34</v>
      </c>
      <c r="I593" s="46">
        <v>0</v>
      </c>
      <c r="J593" s="46">
        <v>11589.3435028902</v>
      </c>
      <c r="K593" s="46">
        <v>8000</v>
      </c>
      <c r="L593" s="46">
        <v>0</v>
      </c>
      <c r="M593" s="46">
        <v>0</v>
      </c>
      <c r="N593" s="46">
        <v>0</v>
      </c>
    </row>
    <row r="594" spans="1:14" outlineLevel="1" x14ac:dyDescent="0.25">
      <c r="C594" s="48" t="s">
        <v>303</v>
      </c>
      <c r="D594" s="48"/>
      <c r="E594" s="46">
        <v>23465.816800500299</v>
      </c>
      <c r="F594">
        <v>4</v>
      </c>
      <c r="G594" t="s">
        <v>39</v>
      </c>
      <c r="I594" s="46">
        <v>0</v>
      </c>
      <c r="J594" s="46">
        <v>1030.1003808092501</v>
      </c>
      <c r="K594" s="46">
        <v>0</v>
      </c>
      <c r="L594" s="46">
        <v>22435.7164196911</v>
      </c>
      <c r="M594" s="46">
        <v>0</v>
      </c>
      <c r="N594" s="46">
        <v>0</v>
      </c>
    </row>
    <row r="595" spans="1:14" outlineLevel="1" x14ac:dyDescent="0.25">
      <c r="B595">
        <v>2700</v>
      </c>
      <c r="C595" s="48" t="s">
        <v>277</v>
      </c>
      <c r="D595" s="48"/>
      <c r="E595" s="46">
        <v>22435.7164196911</v>
      </c>
      <c r="F595">
        <v>1</v>
      </c>
      <c r="G595" t="s">
        <v>34</v>
      </c>
      <c r="I595" s="46">
        <v>0</v>
      </c>
      <c r="J595" s="46">
        <v>0</v>
      </c>
      <c r="K595" s="46">
        <v>0</v>
      </c>
      <c r="L595" s="46">
        <v>22435.7164196911</v>
      </c>
      <c r="M595" s="46">
        <v>0</v>
      </c>
      <c r="N595" s="46">
        <v>0</v>
      </c>
    </row>
    <row r="596" spans="1:14" outlineLevel="1" x14ac:dyDescent="0.25">
      <c r="B596">
        <v>2705</v>
      </c>
      <c r="C596" s="50" t="s">
        <v>274</v>
      </c>
      <c r="D596" s="50"/>
      <c r="E596" s="46">
        <v>1030.1003808092501</v>
      </c>
      <c r="F596">
        <v>1</v>
      </c>
      <c r="G596" t="s">
        <v>34</v>
      </c>
      <c r="I596" s="46">
        <v>0</v>
      </c>
      <c r="J596" s="46">
        <v>1030.1003808092501</v>
      </c>
      <c r="K596" s="46">
        <v>0</v>
      </c>
      <c r="L596" s="46">
        <v>0</v>
      </c>
      <c r="M596" s="46">
        <v>0</v>
      </c>
      <c r="N596" s="46">
        <v>0</v>
      </c>
    </row>
    <row r="597" spans="1:14" outlineLevel="1" x14ac:dyDescent="0.25">
      <c r="C597" s="48" t="s">
        <v>304</v>
      </c>
      <c r="D597" s="48"/>
      <c r="E597" s="46">
        <v>11791.7433209312</v>
      </c>
      <c r="F597">
        <v>4</v>
      </c>
      <c r="G597" t="s">
        <v>39</v>
      </c>
      <c r="I597" s="46">
        <v>0</v>
      </c>
      <c r="J597" s="46">
        <v>515.050190404624</v>
      </c>
      <c r="K597" s="46">
        <v>0</v>
      </c>
      <c r="L597" s="46">
        <v>11276.693130526501</v>
      </c>
      <c r="M597" s="46">
        <v>0</v>
      </c>
      <c r="N597" s="46">
        <v>0</v>
      </c>
    </row>
    <row r="598" spans="1:14" outlineLevel="1" x14ac:dyDescent="0.25">
      <c r="B598">
        <v>2700</v>
      </c>
      <c r="C598" s="48" t="s">
        <v>277</v>
      </c>
      <c r="D598" s="48"/>
      <c r="E598" s="46">
        <v>11276.693130526501</v>
      </c>
      <c r="F598">
        <v>1</v>
      </c>
      <c r="G598" t="s">
        <v>34</v>
      </c>
      <c r="I598" s="46">
        <v>0</v>
      </c>
      <c r="J598" s="46">
        <v>0</v>
      </c>
      <c r="K598" s="46">
        <v>0</v>
      </c>
      <c r="L598" s="46">
        <v>11276.693130526501</v>
      </c>
      <c r="M598" s="46">
        <v>0</v>
      </c>
      <c r="N598" s="46">
        <v>0</v>
      </c>
    </row>
    <row r="599" spans="1:14" outlineLevel="1" x14ac:dyDescent="0.25">
      <c r="B599">
        <v>2705</v>
      </c>
      <c r="C599" s="50" t="s">
        <v>274</v>
      </c>
      <c r="D599" s="50"/>
      <c r="E599" s="46">
        <v>515.050190404624</v>
      </c>
      <c r="F599">
        <v>1</v>
      </c>
      <c r="G599" t="s">
        <v>34</v>
      </c>
      <c r="I599" s="46">
        <v>0</v>
      </c>
      <c r="J599" s="46">
        <v>515.050190404624</v>
      </c>
      <c r="K599" s="46">
        <v>0</v>
      </c>
      <c r="L599" s="46">
        <v>0</v>
      </c>
      <c r="M599" s="46">
        <v>0</v>
      </c>
      <c r="N599" s="46">
        <v>0</v>
      </c>
    </row>
    <row r="600" spans="1:14" x14ac:dyDescent="0.25">
      <c r="A600">
        <v>13</v>
      </c>
      <c r="C600" t="s">
        <v>305</v>
      </c>
      <c r="E600" s="46">
        <v>1467853.7038664699</v>
      </c>
      <c r="F600">
        <v>1</v>
      </c>
      <c r="G600" t="s">
        <v>34</v>
      </c>
      <c r="H600" s="46">
        <v>2424100</v>
      </c>
      <c r="I600" s="46">
        <v>0</v>
      </c>
      <c r="J600" s="46">
        <v>219001.53576346699</v>
      </c>
      <c r="K600" s="46">
        <v>225841.38520911601</v>
      </c>
      <c r="L600" s="46">
        <v>690532.89122286299</v>
      </c>
      <c r="M600" s="46">
        <v>0</v>
      </c>
      <c r="N600" s="46">
        <v>332477.89167102601</v>
      </c>
    </row>
    <row r="601" spans="1:14" outlineLevel="1" x14ac:dyDescent="0.25">
      <c r="C601" s="47" t="s">
        <v>306</v>
      </c>
      <c r="D601" s="47"/>
      <c r="E601" s="46">
        <v>1467853.7038664699</v>
      </c>
      <c r="F601">
        <v>1</v>
      </c>
      <c r="G601" t="s">
        <v>34</v>
      </c>
      <c r="I601" s="46">
        <v>0</v>
      </c>
      <c r="J601" s="46">
        <v>219001.53576346699</v>
      </c>
      <c r="K601" s="46">
        <v>225841.38520911601</v>
      </c>
      <c r="L601" s="46">
        <v>690532.89122286299</v>
      </c>
      <c r="M601" s="46">
        <v>0</v>
      </c>
      <c r="N601" s="46">
        <v>332477.89167102601</v>
      </c>
    </row>
    <row r="602" spans="1:14" outlineLevel="1" x14ac:dyDescent="0.25">
      <c r="C602" s="47" t="s">
        <v>307</v>
      </c>
      <c r="D602" s="47"/>
      <c r="E602" s="46">
        <v>485168.43908491801</v>
      </c>
      <c r="F602">
        <v>347206</v>
      </c>
      <c r="G602" t="s">
        <v>41</v>
      </c>
      <c r="I602" s="46">
        <v>0</v>
      </c>
      <c r="J602" s="46">
        <v>79789.790485505495</v>
      </c>
      <c r="K602" s="46">
        <v>91467.791850334805</v>
      </c>
      <c r="L602" s="46">
        <v>137870.87318674801</v>
      </c>
      <c r="M602" s="46">
        <v>0</v>
      </c>
      <c r="N602" s="46">
        <v>176039.98356232999</v>
      </c>
    </row>
    <row r="603" spans="1:14" outlineLevel="1" x14ac:dyDescent="0.25">
      <c r="C603" s="47" t="s">
        <v>308</v>
      </c>
      <c r="D603" s="47"/>
      <c r="E603" s="46">
        <v>485168.43908491801</v>
      </c>
      <c r="F603">
        <v>347206</v>
      </c>
      <c r="G603" t="s">
        <v>41</v>
      </c>
      <c r="I603" s="46">
        <v>0</v>
      </c>
      <c r="J603" s="46">
        <v>79789.790485505495</v>
      </c>
      <c r="K603" s="46">
        <v>91467.791850334805</v>
      </c>
      <c r="L603" s="46">
        <v>137870.87318674801</v>
      </c>
      <c r="M603" s="46">
        <v>0</v>
      </c>
      <c r="N603" s="46">
        <v>176039.98356232999</v>
      </c>
    </row>
    <row r="604" spans="1:14" outlineLevel="1" x14ac:dyDescent="0.25">
      <c r="B604">
        <v>2732</v>
      </c>
      <c r="C604" s="47" t="s">
        <v>309</v>
      </c>
      <c r="D604" s="47"/>
      <c r="E604" s="46">
        <v>144134.584534822</v>
      </c>
      <c r="F604">
        <v>347206</v>
      </c>
      <c r="G604" t="s">
        <v>41</v>
      </c>
      <c r="I604" s="46">
        <v>0</v>
      </c>
      <c r="J604" s="46">
        <v>67864.999868154904</v>
      </c>
      <c r="K604" s="46">
        <v>76269.584666666706</v>
      </c>
      <c r="L604" s="46">
        <v>0</v>
      </c>
      <c r="M604" s="46">
        <v>0</v>
      </c>
      <c r="N604" s="46">
        <v>0</v>
      </c>
    </row>
    <row r="605" spans="1:14" outlineLevel="1" x14ac:dyDescent="0.25">
      <c r="B605">
        <v>2734</v>
      </c>
      <c r="C605" s="47" t="s">
        <v>310</v>
      </c>
      <c r="D605" s="47"/>
      <c r="E605" s="46">
        <v>137870.87318674801</v>
      </c>
      <c r="F605">
        <v>347206</v>
      </c>
      <c r="G605" t="s">
        <v>41</v>
      </c>
      <c r="I605" s="46">
        <v>0</v>
      </c>
      <c r="J605" s="46">
        <v>0</v>
      </c>
      <c r="K605" s="46">
        <v>0</v>
      </c>
      <c r="L605" s="46">
        <v>137870.87318674801</v>
      </c>
      <c r="M605" s="46">
        <v>0</v>
      </c>
      <c r="N605" s="46">
        <v>0</v>
      </c>
    </row>
    <row r="606" spans="1:14" outlineLevel="1" x14ac:dyDescent="0.25">
      <c r="B606">
        <v>2149</v>
      </c>
      <c r="C606" s="47" t="s">
        <v>48</v>
      </c>
      <c r="D606" s="47"/>
      <c r="E606" s="46">
        <v>176039.98356232999</v>
      </c>
      <c r="F606">
        <v>12213.9355111118</v>
      </c>
      <c r="G606" t="s">
        <v>43</v>
      </c>
      <c r="I606" s="46">
        <v>0</v>
      </c>
      <c r="J606" s="46">
        <v>0</v>
      </c>
      <c r="K606" s="46">
        <v>0</v>
      </c>
      <c r="L606" s="46">
        <v>0</v>
      </c>
      <c r="M606" s="46">
        <v>0</v>
      </c>
      <c r="N606" s="46">
        <v>176039.98356232999</v>
      </c>
    </row>
    <row r="607" spans="1:14" outlineLevel="1" x14ac:dyDescent="0.25">
      <c r="C607" s="47" t="s">
        <v>311</v>
      </c>
      <c r="D607" s="47"/>
      <c r="E607" s="46">
        <v>27122.997801018701</v>
      </c>
      <c r="F607">
        <v>12213.935588267999</v>
      </c>
      <c r="G607" t="s">
        <v>43</v>
      </c>
      <c r="I607" s="46">
        <v>0</v>
      </c>
      <c r="J607" s="46">
        <v>11924.7906173506</v>
      </c>
      <c r="K607" s="46">
        <v>15198.207183668101</v>
      </c>
      <c r="L607" s="46">
        <v>0</v>
      </c>
      <c r="M607" s="46">
        <v>0</v>
      </c>
      <c r="N607" s="46">
        <v>0</v>
      </c>
    </row>
    <row r="608" spans="1:14" outlineLevel="1" x14ac:dyDescent="0.25">
      <c r="B608">
        <v>2220</v>
      </c>
      <c r="C608" s="47" t="s">
        <v>312</v>
      </c>
      <c r="D608" s="47"/>
      <c r="E608" s="46">
        <v>27122.997801018701</v>
      </c>
      <c r="F608">
        <v>12213.935588267999</v>
      </c>
      <c r="G608" t="s">
        <v>43</v>
      </c>
      <c r="I608" s="46">
        <v>0</v>
      </c>
      <c r="J608" s="46">
        <v>11924.7906173506</v>
      </c>
      <c r="K608" s="46">
        <v>15198.207183668101</v>
      </c>
      <c r="L608" s="46">
        <v>0</v>
      </c>
      <c r="M608" s="46">
        <v>0</v>
      </c>
      <c r="N608" s="46">
        <v>0</v>
      </c>
    </row>
    <row r="609" spans="2:14" outlineLevel="1" x14ac:dyDescent="0.25">
      <c r="C609" s="47" t="s">
        <v>313</v>
      </c>
      <c r="D609" s="47"/>
      <c r="E609" s="46">
        <v>367577.757468439</v>
      </c>
      <c r="F609">
        <v>347206</v>
      </c>
      <c r="G609" t="s">
        <v>41</v>
      </c>
      <c r="I609" s="46">
        <v>0</v>
      </c>
      <c r="J609" s="46">
        <v>23455.239783237001</v>
      </c>
      <c r="K609" s="46">
        <v>26360</v>
      </c>
      <c r="L609" s="46">
        <v>180585.955859115</v>
      </c>
      <c r="M609" s="46">
        <v>0</v>
      </c>
      <c r="N609" s="46">
        <v>137176.56182608701</v>
      </c>
    </row>
    <row r="610" spans="2:14" outlineLevel="1" x14ac:dyDescent="0.25">
      <c r="B610">
        <v>2165</v>
      </c>
      <c r="C610" s="47" t="s">
        <v>314</v>
      </c>
      <c r="D610" s="47"/>
      <c r="E610" s="46">
        <v>50805.420082352</v>
      </c>
      <c r="F610">
        <v>347206</v>
      </c>
      <c r="G610" t="s">
        <v>41</v>
      </c>
      <c r="I610" s="46">
        <v>0</v>
      </c>
      <c r="J610" s="46">
        <v>23455.239783237001</v>
      </c>
      <c r="K610" s="46">
        <v>26360</v>
      </c>
      <c r="L610" s="46">
        <v>990.18029911500003</v>
      </c>
      <c r="M610" s="46">
        <v>0</v>
      </c>
      <c r="N610" s="46">
        <v>0</v>
      </c>
    </row>
    <row r="611" spans="2:14" outlineLevel="1" x14ac:dyDescent="0.25">
      <c r="B611">
        <v>2183</v>
      </c>
      <c r="C611" s="47" t="s">
        <v>80</v>
      </c>
      <c r="D611" s="47"/>
      <c r="E611" s="46">
        <v>179595.77556000001</v>
      </c>
      <c r="F611">
        <v>16179.7996</v>
      </c>
      <c r="G611" t="s">
        <v>43</v>
      </c>
      <c r="I611" s="46">
        <v>0</v>
      </c>
      <c r="J611" s="46">
        <v>0</v>
      </c>
      <c r="K611" s="46">
        <v>0</v>
      </c>
      <c r="L611" s="46">
        <v>179595.77556000001</v>
      </c>
      <c r="M611" s="46">
        <v>0</v>
      </c>
      <c r="N611" s="46">
        <v>0</v>
      </c>
    </row>
    <row r="612" spans="2:14" outlineLevel="1" x14ac:dyDescent="0.25">
      <c r="B612">
        <v>2149</v>
      </c>
      <c r="C612" s="47" t="s">
        <v>48</v>
      </c>
      <c r="D612" s="47"/>
      <c r="E612" s="46">
        <v>137176.56182608701</v>
      </c>
      <c r="F612">
        <v>16179.7996</v>
      </c>
      <c r="G612" t="s">
        <v>43</v>
      </c>
      <c r="I612" s="46">
        <v>0</v>
      </c>
      <c r="J612" s="46">
        <v>0</v>
      </c>
      <c r="K612" s="46">
        <v>0</v>
      </c>
      <c r="L612" s="46">
        <v>0</v>
      </c>
      <c r="M612" s="46">
        <v>0</v>
      </c>
      <c r="N612" s="46">
        <v>137176.56182608701</v>
      </c>
    </row>
    <row r="613" spans="2:14" outlineLevel="1" x14ac:dyDescent="0.25">
      <c r="C613" s="47" t="s">
        <v>315</v>
      </c>
      <c r="D613" s="47"/>
      <c r="E613" s="46">
        <v>183832.685623639</v>
      </c>
      <c r="F613">
        <v>347206</v>
      </c>
      <c r="G613" t="s">
        <v>41</v>
      </c>
      <c r="I613" s="46">
        <v>0</v>
      </c>
      <c r="J613" s="46">
        <v>8895.4924766468994</v>
      </c>
      <c r="K613" s="46">
        <v>3701.0187469920002</v>
      </c>
      <c r="L613" s="46">
        <v>171236.17439999999</v>
      </c>
      <c r="M613" s="46">
        <v>0</v>
      </c>
      <c r="N613" s="46">
        <v>0</v>
      </c>
    </row>
    <row r="614" spans="2:14" outlineLevel="1" x14ac:dyDescent="0.25">
      <c r="B614">
        <v>2733</v>
      </c>
      <c r="C614" s="47" t="s">
        <v>316</v>
      </c>
      <c r="D614" s="47"/>
      <c r="E614" s="46">
        <v>183832.685623639</v>
      </c>
      <c r="F614">
        <v>46525.603999999999</v>
      </c>
      <c r="G614" t="s">
        <v>98</v>
      </c>
      <c r="I614" s="46">
        <v>0</v>
      </c>
      <c r="J614" s="46">
        <v>8895.4924766468994</v>
      </c>
      <c r="K614" s="46">
        <v>3701.0187469920002</v>
      </c>
      <c r="L614" s="46">
        <v>171236.17439999999</v>
      </c>
      <c r="M614" s="46">
        <v>0</v>
      </c>
      <c r="N614" s="46">
        <v>0</v>
      </c>
    </row>
    <row r="615" spans="2:14" outlineLevel="1" x14ac:dyDescent="0.25">
      <c r="C615" s="47" t="s">
        <v>317</v>
      </c>
      <c r="D615" s="47"/>
      <c r="E615" s="46">
        <v>35278.147358638103</v>
      </c>
      <c r="F615">
        <v>347206</v>
      </c>
      <c r="G615" t="s">
        <v>41</v>
      </c>
      <c r="I615" s="46">
        <v>0</v>
      </c>
      <c r="J615" s="46">
        <v>6177.4253310047898</v>
      </c>
      <c r="K615" s="46">
        <v>2570.1519076333302</v>
      </c>
      <c r="L615" s="46">
        <v>26530.57012</v>
      </c>
      <c r="M615" s="46">
        <v>0</v>
      </c>
      <c r="N615" s="46">
        <v>0</v>
      </c>
    </row>
    <row r="616" spans="2:14" outlineLevel="1" x14ac:dyDescent="0.25">
      <c r="B616">
        <v>2731</v>
      </c>
      <c r="C616" s="47" t="s">
        <v>318</v>
      </c>
      <c r="D616" s="47"/>
      <c r="E616" s="46">
        <v>35278.147358638103</v>
      </c>
      <c r="F616">
        <v>46525.603999999999</v>
      </c>
      <c r="G616" t="s">
        <v>98</v>
      </c>
      <c r="I616" s="46">
        <v>0</v>
      </c>
      <c r="J616" s="46">
        <v>6177.4253310047898</v>
      </c>
      <c r="K616" s="46">
        <v>2570.1519076333302</v>
      </c>
      <c r="L616" s="46">
        <v>26530.57012</v>
      </c>
      <c r="M616" s="46">
        <v>0</v>
      </c>
      <c r="N616" s="46">
        <v>0</v>
      </c>
    </row>
    <row r="617" spans="2:14" outlineLevel="1" x14ac:dyDescent="0.25">
      <c r="C617" s="47" t="s">
        <v>319</v>
      </c>
      <c r="D617" s="47"/>
      <c r="E617" s="46">
        <v>35278.147358638103</v>
      </c>
      <c r="F617">
        <v>347206</v>
      </c>
      <c r="G617" t="s">
        <v>41</v>
      </c>
      <c r="I617" s="46">
        <v>0</v>
      </c>
      <c r="J617" s="46">
        <v>6177.4253310047898</v>
      </c>
      <c r="K617" s="46">
        <v>2570.1519076333302</v>
      </c>
      <c r="L617" s="46">
        <v>26530.57012</v>
      </c>
      <c r="M617" s="46">
        <v>0</v>
      </c>
      <c r="N617" s="46">
        <v>0</v>
      </c>
    </row>
    <row r="618" spans="2:14" outlineLevel="1" x14ac:dyDescent="0.25">
      <c r="B618">
        <v>2731</v>
      </c>
      <c r="C618" s="47" t="s">
        <v>318</v>
      </c>
      <c r="D618" s="47"/>
      <c r="E618" s="46">
        <v>35278.147358638103</v>
      </c>
      <c r="F618">
        <v>46525.603999999999</v>
      </c>
      <c r="G618" t="s">
        <v>98</v>
      </c>
      <c r="I618" s="46">
        <v>0</v>
      </c>
      <c r="J618" s="46">
        <v>6177.4253310047898</v>
      </c>
      <c r="K618" s="46">
        <v>2570.1519076333302</v>
      </c>
      <c r="L618" s="46">
        <v>26530.57012</v>
      </c>
      <c r="M618" s="46">
        <v>0</v>
      </c>
      <c r="N618" s="46">
        <v>0</v>
      </c>
    </row>
    <row r="619" spans="2:14" outlineLevel="1" x14ac:dyDescent="0.25">
      <c r="C619" s="47" t="s">
        <v>320</v>
      </c>
      <c r="D619" s="47"/>
      <c r="E619" s="46">
        <v>35278.147358638103</v>
      </c>
      <c r="F619">
        <v>347206</v>
      </c>
      <c r="G619" t="s">
        <v>41</v>
      </c>
      <c r="I619" s="46">
        <v>0</v>
      </c>
      <c r="J619" s="46">
        <v>6177.4253310047898</v>
      </c>
      <c r="K619" s="46">
        <v>2570.1519076333302</v>
      </c>
      <c r="L619" s="46">
        <v>26530.57012</v>
      </c>
      <c r="M619" s="46">
        <v>0</v>
      </c>
      <c r="N619" s="46">
        <v>0</v>
      </c>
    </row>
    <row r="620" spans="2:14" outlineLevel="1" x14ac:dyDescent="0.25">
      <c r="B620">
        <v>2731</v>
      </c>
      <c r="C620" s="47" t="s">
        <v>318</v>
      </c>
      <c r="D620" s="47"/>
      <c r="E620" s="46">
        <v>35278.147358638103</v>
      </c>
      <c r="F620">
        <v>46525.603999999999</v>
      </c>
      <c r="G620" t="s">
        <v>98</v>
      </c>
      <c r="I620" s="46">
        <v>0</v>
      </c>
      <c r="J620" s="46">
        <v>6177.4253310047898</v>
      </c>
      <c r="K620" s="46">
        <v>2570.1519076333302</v>
      </c>
      <c r="L620" s="46">
        <v>26530.57012</v>
      </c>
      <c r="M620" s="46">
        <v>0</v>
      </c>
      <c r="N620" s="46">
        <v>0</v>
      </c>
    </row>
    <row r="621" spans="2:14" outlineLevel="1" x14ac:dyDescent="0.25">
      <c r="C621" s="47" t="s">
        <v>321</v>
      </c>
      <c r="D621" s="47"/>
      <c r="E621" s="46">
        <v>277418.23609781498</v>
      </c>
      <c r="F621">
        <v>1</v>
      </c>
      <c r="G621" t="s">
        <v>34</v>
      </c>
      <c r="I621" s="46">
        <v>0</v>
      </c>
      <c r="J621" s="46">
        <v>78539.001701317597</v>
      </c>
      <c r="K621" s="46">
        <v>96602.118888888901</v>
      </c>
      <c r="L621" s="46">
        <v>83015.769224999996</v>
      </c>
      <c r="M621" s="46">
        <v>0</v>
      </c>
      <c r="N621" s="46">
        <v>19261.346282608702</v>
      </c>
    </row>
    <row r="622" spans="2:14" outlineLevel="1" x14ac:dyDescent="0.25">
      <c r="C622" s="47" t="s">
        <v>322</v>
      </c>
      <c r="D622" s="47"/>
      <c r="E622" s="46">
        <v>228351.24070163301</v>
      </c>
      <c r="F622">
        <v>4233</v>
      </c>
      <c r="G622" t="s">
        <v>40</v>
      </c>
      <c r="I622" s="46">
        <v>0</v>
      </c>
      <c r="J622" s="46">
        <v>70840.855194024698</v>
      </c>
      <c r="K622" s="46">
        <v>93379.98</v>
      </c>
      <c r="L622" s="46">
        <v>44869.059224999997</v>
      </c>
      <c r="M622" s="46">
        <v>0</v>
      </c>
      <c r="N622" s="46">
        <v>19261.346282608702</v>
      </c>
    </row>
    <row r="623" spans="2:14" outlineLevel="1" x14ac:dyDescent="0.25">
      <c r="B623">
        <v>5012</v>
      </c>
      <c r="C623" s="47" t="s">
        <v>59</v>
      </c>
      <c r="D623" s="47"/>
      <c r="E623" s="46">
        <v>164220.83519402501</v>
      </c>
      <c r="F623">
        <v>4233</v>
      </c>
      <c r="G623" t="s">
        <v>40</v>
      </c>
      <c r="I623" s="46">
        <v>0</v>
      </c>
      <c r="J623" s="46">
        <v>70840.855194024698</v>
      </c>
      <c r="K623" s="46">
        <v>93379.98</v>
      </c>
      <c r="L623" s="46">
        <v>0</v>
      </c>
      <c r="M623" s="46">
        <v>0</v>
      </c>
      <c r="N623" s="46">
        <v>0</v>
      </c>
    </row>
    <row r="624" spans="2:14" outlineLevel="1" x14ac:dyDescent="0.25">
      <c r="B624">
        <v>2185</v>
      </c>
      <c r="C624" s="47" t="s">
        <v>51</v>
      </c>
      <c r="D624" s="47"/>
      <c r="E624" s="46">
        <v>44869.059224999997</v>
      </c>
      <c r="F624">
        <v>2271.8510999999999</v>
      </c>
      <c r="G624" t="s">
        <v>43</v>
      </c>
      <c r="I624" s="46">
        <v>0</v>
      </c>
      <c r="J624" s="46">
        <v>0</v>
      </c>
      <c r="K624" s="46">
        <v>0</v>
      </c>
      <c r="L624" s="46">
        <v>44869.059224999997</v>
      </c>
      <c r="M624" s="46">
        <v>0</v>
      </c>
      <c r="N624" s="46">
        <v>0</v>
      </c>
    </row>
    <row r="625" spans="1:14" outlineLevel="1" x14ac:dyDescent="0.25">
      <c r="B625">
        <v>2149</v>
      </c>
      <c r="C625" s="47" t="s">
        <v>48</v>
      </c>
      <c r="D625" s="47"/>
      <c r="E625" s="46">
        <v>19261.346282608702</v>
      </c>
      <c r="F625">
        <v>2271.8510999999999</v>
      </c>
      <c r="G625" t="s">
        <v>43</v>
      </c>
      <c r="I625" s="46">
        <v>0</v>
      </c>
      <c r="J625" s="46">
        <v>0</v>
      </c>
      <c r="K625" s="46">
        <v>0</v>
      </c>
      <c r="L625" s="46">
        <v>0</v>
      </c>
      <c r="M625" s="46">
        <v>0</v>
      </c>
      <c r="N625" s="46">
        <v>19261.346282608702</v>
      </c>
    </row>
    <row r="626" spans="1:14" outlineLevel="1" x14ac:dyDescent="0.25">
      <c r="C626" s="47" t="s">
        <v>323</v>
      </c>
      <c r="D626" s="47"/>
      <c r="E626" s="46">
        <v>39390.443600866703</v>
      </c>
      <c r="F626">
        <v>9518</v>
      </c>
      <c r="G626" t="s">
        <v>40</v>
      </c>
      <c r="I626" s="46">
        <v>0</v>
      </c>
      <c r="J626" s="46">
        <v>7169.3697119778399</v>
      </c>
      <c r="K626" s="46">
        <v>3000.8138888888898</v>
      </c>
      <c r="L626" s="46">
        <v>29220.26</v>
      </c>
      <c r="M626" s="46">
        <v>0</v>
      </c>
      <c r="N626" s="46">
        <v>0</v>
      </c>
    </row>
    <row r="627" spans="1:14" outlineLevel="1" x14ac:dyDescent="0.25">
      <c r="B627">
        <v>2735</v>
      </c>
      <c r="C627" s="47" t="s">
        <v>324</v>
      </c>
      <c r="D627" s="47"/>
      <c r="E627" s="46">
        <v>10170.1836008667</v>
      </c>
      <c r="F627">
        <v>9518</v>
      </c>
      <c r="G627" t="s">
        <v>40</v>
      </c>
      <c r="I627" s="46">
        <v>0</v>
      </c>
      <c r="J627" s="46">
        <v>7169.3697119778399</v>
      </c>
      <c r="K627" s="46">
        <v>3000.8138888888898</v>
      </c>
      <c r="L627" s="46">
        <v>0</v>
      </c>
      <c r="M627" s="46">
        <v>0</v>
      </c>
      <c r="N627" s="46">
        <v>0</v>
      </c>
    </row>
    <row r="628" spans="1:14" outlineLevel="1" x14ac:dyDescent="0.25">
      <c r="B628">
        <v>6480</v>
      </c>
      <c r="C628" s="47" t="s">
        <v>96</v>
      </c>
      <c r="D628" s="47"/>
      <c r="E628" s="46">
        <v>29220.26</v>
      </c>
      <c r="F628">
        <v>1</v>
      </c>
      <c r="G628" t="s">
        <v>34</v>
      </c>
      <c r="I628" s="46">
        <v>0</v>
      </c>
      <c r="J628" s="46">
        <v>0</v>
      </c>
      <c r="K628" s="46">
        <v>0</v>
      </c>
      <c r="L628" s="46">
        <v>29220.26</v>
      </c>
      <c r="M628" s="46">
        <v>0</v>
      </c>
      <c r="N628" s="46">
        <v>0</v>
      </c>
    </row>
    <row r="629" spans="1:14" outlineLevel="1" x14ac:dyDescent="0.25">
      <c r="C629" s="47" t="s">
        <v>325</v>
      </c>
      <c r="D629" s="47"/>
      <c r="E629" s="46">
        <v>9676.5517953150302</v>
      </c>
      <c r="F629">
        <v>65</v>
      </c>
      <c r="G629" t="s">
        <v>39</v>
      </c>
      <c r="I629" s="46">
        <v>0</v>
      </c>
      <c r="J629" s="46">
        <v>528.77679531502895</v>
      </c>
      <c r="K629" s="46">
        <v>221.32499999999999</v>
      </c>
      <c r="L629" s="46">
        <v>8926.4500000000007</v>
      </c>
      <c r="M629" s="46">
        <v>0</v>
      </c>
      <c r="N629" s="46">
        <v>0</v>
      </c>
    </row>
    <row r="630" spans="1:14" outlineLevel="1" x14ac:dyDescent="0.25">
      <c r="B630">
        <v>2735</v>
      </c>
      <c r="C630" s="47" t="s">
        <v>324</v>
      </c>
      <c r="D630" s="47"/>
      <c r="E630" s="46">
        <v>750.10179531502899</v>
      </c>
      <c r="F630">
        <v>65</v>
      </c>
      <c r="G630" t="s">
        <v>40</v>
      </c>
      <c r="I630" s="46">
        <v>0</v>
      </c>
      <c r="J630" s="46">
        <v>528.77679531502895</v>
      </c>
      <c r="K630" s="46">
        <v>221.32499999999999</v>
      </c>
      <c r="L630" s="46">
        <v>0</v>
      </c>
      <c r="M630" s="46">
        <v>0</v>
      </c>
      <c r="N630" s="46">
        <v>0</v>
      </c>
    </row>
    <row r="631" spans="1:14" outlineLevel="1" x14ac:dyDescent="0.25">
      <c r="B631">
        <v>6480</v>
      </c>
      <c r="C631" s="47" t="s">
        <v>96</v>
      </c>
      <c r="D631" s="47"/>
      <c r="E631" s="46">
        <v>8926.4500000000007</v>
      </c>
      <c r="F631">
        <v>1</v>
      </c>
      <c r="G631" t="s">
        <v>34</v>
      </c>
      <c r="I631" s="46">
        <v>0</v>
      </c>
      <c r="J631" s="46">
        <v>0</v>
      </c>
      <c r="K631" s="46">
        <v>0</v>
      </c>
      <c r="L631" s="46">
        <v>8926.4500000000007</v>
      </c>
      <c r="M631" s="46">
        <v>0</v>
      </c>
      <c r="N631" s="46">
        <v>0</v>
      </c>
    </row>
    <row r="632" spans="1:14" outlineLevel="1" x14ac:dyDescent="0.25">
      <c r="C632" s="47" t="s">
        <v>286</v>
      </c>
      <c r="D632" s="47"/>
      <c r="E632" s="46">
        <v>48022.143515745702</v>
      </c>
      <c r="F632">
        <v>5312</v>
      </c>
      <c r="G632" t="s">
        <v>40</v>
      </c>
      <c r="I632" s="46">
        <v>0</v>
      </c>
      <c r="J632" s="46">
        <v>9789.73532374567</v>
      </c>
      <c r="K632" s="46">
        <v>0</v>
      </c>
      <c r="L632" s="46">
        <v>38232.408192000003</v>
      </c>
      <c r="M632" s="46">
        <v>0</v>
      </c>
      <c r="N632" s="46">
        <v>0</v>
      </c>
    </row>
    <row r="633" spans="1:14" outlineLevel="1" x14ac:dyDescent="0.25">
      <c r="B633">
        <v>2736</v>
      </c>
      <c r="C633" s="47" t="s">
        <v>286</v>
      </c>
      <c r="D633" s="47"/>
      <c r="E633" s="46">
        <v>48022.143515745702</v>
      </c>
      <c r="F633">
        <v>5312</v>
      </c>
      <c r="G633" t="s">
        <v>40</v>
      </c>
      <c r="I633" s="46">
        <v>0</v>
      </c>
      <c r="J633" s="46">
        <v>9789.73532374567</v>
      </c>
      <c r="K633" s="46">
        <v>0</v>
      </c>
      <c r="L633" s="46">
        <v>38232.408192000003</v>
      </c>
      <c r="M633" s="46">
        <v>0</v>
      </c>
      <c r="N633" s="46">
        <v>0</v>
      </c>
    </row>
    <row r="634" spans="1:14" x14ac:dyDescent="0.25">
      <c r="A634">
        <v>14</v>
      </c>
      <c r="C634" t="s">
        <v>326</v>
      </c>
      <c r="E634" s="46">
        <v>55729.6742811972</v>
      </c>
      <c r="F634">
        <v>1</v>
      </c>
      <c r="G634" t="s">
        <v>34</v>
      </c>
      <c r="H634" s="46">
        <v>63300</v>
      </c>
      <c r="I634" s="46">
        <v>0</v>
      </c>
      <c r="J634" s="46">
        <v>610.72471597976903</v>
      </c>
      <c r="K634" s="46">
        <v>528.33000000000004</v>
      </c>
      <c r="L634" s="46">
        <v>2389.75</v>
      </c>
      <c r="M634" s="46">
        <v>51175</v>
      </c>
      <c r="N634" s="46">
        <v>1025.8695652173899</v>
      </c>
    </row>
    <row r="635" spans="1:14" outlineLevel="1" x14ac:dyDescent="0.25">
      <c r="B635">
        <v>2185</v>
      </c>
      <c r="C635" s="47" t="s">
        <v>51</v>
      </c>
      <c r="D635" s="47"/>
      <c r="E635" s="46">
        <v>1975</v>
      </c>
      <c r="F635">
        <v>100</v>
      </c>
      <c r="G635" t="s">
        <v>43</v>
      </c>
      <c r="I635" s="46">
        <v>0</v>
      </c>
      <c r="J635" s="46">
        <v>0</v>
      </c>
      <c r="K635" s="46">
        <v>0</v>
      </c>
      <c r="L635" s="46">
        <v>1975</v>
      </c>
      <c r="M635" s="46">
        <v>0</v>
      </c>
      <c r="N635" s="46">
        <v>0</v>
      </c>
    </row>
    <row r="636" spans="1:14" outlineLevel="1" x14ac:dyDescent="0.25">
      <c r="B636">
        <v>2149</v>
      </c>
      <c r="C636" s="47" t="s">
        <v>48</v>
      </c>
      <c r="D636" s="47"/>
      <c r="E636" s="46">
        <v>847.82608695652198</v>
      </c>
      <c r="F636">
        <v>100</v>
      </c>
      <c r="G636" t="s">
        <v>43</v>
      </c>
      <c r="I636" s="46">
        <v>0</v>
      </c>
      <c r="J636" s="46">
        <v>0</v>
      </c>
      <c r="K636" s="46">
        <v>0</v>
      </c>
      <c r="L636" s="46">
        <v>0</v>
      </c>
      <c r="M636" s="46">
        <v>0</v>
      </c>
      <c r="N636" s="46">
        <v>847.82608695652198</v>
      </c>
    </row>
    <row r="637" spans="1:14" outlineLevel="1" x14ac:dyDescent="0.25">
      <c r="C637" s="47" t="s">
        <v>327</v>
      </c>
      <c r="D637" s="47"/>
      <c r="E637" s="46">
        <v>1731.8481942406399</v>
      </c>
      <c r="F637">
        <v>100</v>
      </c>
      <c r="G637" t="s">
        <v>40</v>
      </c>
      <c r="I637" s="46">
        <v>0</v>
      </c>
      <c r="J637" s="46">
        <v>610.72471597976903</v>
      </c>
      <c r="K637" s="46">
        <v>528.33000000000004</v>
      </c>
      <c r="L637" s="46">
        <v>414.75</v>
      </c>
      <c r="M637" s="46">
        <v>0</v>
      </c>
      <c r="N637" s="46">
        <v>178.04347826086999</v>
      </c>
    </row>
    <row r="638" spans="1:14" outlineLevel="1" x14ac:dyDescent="0.25">
      <c r="C638" s="47" t="s">
        <v>284</v>
      </c>
      <c r="D638" s="47"/>
      <c r="E638" s="46">
        <v>1731.8481942406399</v>
      </c>
      <c r="F638">
        <v>600</v>
      </c>
      <c r="G638" t="s">
        <v>41</v>
      </c>
      <c r="I638" s="46">
        <v>0</v>
      </c>
      <c r="J638" s="46">
        <v>610.72471597976903</v>
      </c>
      <c r="K638" s="46">
        <v>528.33000000000004</v>
      </c>
      <c r="L638" s="46">
        <v>414.75</v>
      </c>
      <c r="M638" s="46">
        <v>0</v>
      </c>
      <c r="N638" s="46">
        <v>178.04347826086999</v>
      </c>
    </row>
    <row r="639" spans="1:14" outlineLevel="1" x14ac:dyDescent="0.25">
      <c r="B639">
        <v>2156</v>
      </c>
      <c r="C639" s="47" t="s">
        <v>82</v>
      </c>
      <c r="D639" s="47"/>
      <c r="E639" s="46">
        <v>1139.05471597977</v>
      </c>
      <c r="F639">
        <v>600</v>
      </c>
      <c r="G639" t="s">
        <v>41</v>
      </c>
      <c r="I639" s="46">
        <v>0</v>
      </c>
      <c r="J639" s="46">
        <v>610.72471597976903</v>
      </c>
      <c r="K639" s="46">
        <v>528.33000000000004</v>
      </c>
      <c r="L639" s="46">
        <v>0</v>
      </c>
      <c r="M639" s="46">
        <v>0</v>
      </c>
      <c r="N639" s="46">
        <v>0</v>
      </c>
    </row>
    <row r="640" spans="1:14" outlineLevel="1" x14ac:dyDescent="0.25">
      <c r="B640">
        <v>2183</v>
      </c>
      <c r="C640" s="47" t="s">
        <v>80</v>
      </c>
      <c r="D640" s="47"/>
      <c r="E640" s="46">
        <v>414.75</v>
      </c>
      <c r="F640">
        <v>21</v>
      </c>
      <c r="G640" t="s">
        <v>43</v>
      </c>
      <c r="I640" s="46">
        <v>0</v>
      </c>
      <c r="J640" s="46">
        <v>0</v>
      </c>
      <c r="K640" s="46">
        <v>0</v>
      </c>
      <c r="L640" s="46">
        <v>414.75</v>
      </c>
      <c r="M640" s="46">
        <v>0</v>
      </c>
      <c r="N640" s="46">
        <v>0</v>
      </c>
    </row>
    <row r="641" spans="1:14" outlineLevel="1" x14ac:dyDescent="0.25">
      <c r="B641">
        <v>2149</v>
      </c>
      <c r="C641" s="47" t="s">
        <v>48</v>
      </c>
      <c r="D641" s="47"/>
      <c r="E641" s="46">
        <v>178.04347826086999</v>
      </c>
      <c r="F641">
        <v>21</v>
      </c>
      <c r="G641" t="s">
        <v>43</v>
      </c>
      <c r="I641" s="46">
        <v>0</v>
      </c>
      <c r="J641" s="46">
        <v>0</v>
      </c>
      <c r="K641" s="46">
        <v>0</v>
      </c>
      <c r="L641" s="46">
        <v>0</v>
      </c>
      <c r="M641" s="46">
        <v>0</v>
      </c>
      <c r="N641" s="46">
        <v>178.04347826086999</v>
      </c>
    </row>
    <row r="642" spans="1:14" outlineLevel="1" x14ac:dyDescent="0.25">
      <c r="B642">
        <v>7875</v>
      </c>
      <c r="C642" s="47" t="s">
        <v>328</v>
      </c>
      <c r="D642" s="47"/>
      <c r="E642" s="46">
        <v>51175</v>
      </c>
      <c r="F642">
        <v>1</v>
      </c>
      <c r="G642" t="s">
        <v>34</v>
      </c>
      <c r="I642" s="46">
        <v>0</v>
      </c>
      <c r="J642" s="46">
        <v>0</v>
      </c>
      <c r="K642" s="46">
        <v>0</v>
      </c>
      <c r="L642" s="46">
        <v>0</v>
      </c>
      <c r="M642" s="46">
        <v>51175</v>
      </c>
      <c r="N642" s="46">
        <v>0</v>
      </c>
    </row>
    <row r="643" spans="1:14" x14ac:dyDescent="0.25">
      <c r="A643">
        <v>15</v>
      </c>
      <c r="C643" t="s">
        <v>329</v>
      </c>
      <c r="E643" s="46">
        <v>18826.4384857935</v>
      </c>
      <c r="F643">
        <v>1</v>
      </c>
      <c r="G643" t="s">
        <v>34</v>
      </c>
      <c r="H643" s="46">
        <v>24700</v>
      </c>
      <c r="I643" s="46">
        <v>577.01</v>
      </c>
      <c r="J643" s="46">
        <v>5737.8483778168902</v>
      </c>
      <c r="K643" s="46">
        <v>147.34462726864001</v>
      </c>
      <c r="L643" s="46">
        <v>9488.3095551580009</v>
      </c>
      <c r="M643" s="46">
        <v>2875.9259255500001</v>
      </c>
      <c r="N643" s="46">
        <v>0</v>
      </c>
    </row>
    <row r="644" spans="1:14" outlineLevel="1" x14ac:dyDescent="0.25">
      <c r="B644">
        <v>3250</v>
      </c>
      <c r="C644" s="49" t="s">
        <v>341</v>
      </c>
      <c r="D644" s="49"/>
      <c r="E644" s="46">
        <v>16537.4354042386</v>
      </c>
      <c r="F644">
        <v>406</v>
      </c>
      <c r="G644" t="s">
        <v>41</v>
      </c>
      <c r="I644" s="46">
        <v>577.01</v>
      </c>
      <c r="J644" s="46">
        <v>4624.3081342619798</v>
      </c>
      <c r="K644" s="46">
        <v>147.34462726864001</v>
      </c>
      <c r="L644" s="46">
        <v>8312.8467171579996</v>
      </c>
      <c r="M644" s="46">
        <v>2875.9259255500001</v>
      </c>
      <c r="N644" s="46">
        <v>0</v>
      </c>
    </row>
    <row r="645" spans="1:14" outlineLevel="1" x14ac:dyDescent="0.25">
      <c r="C645" s="47" t="s">
        <v>330</v>
      </c>
      <c r="D645" s="47"/>
      <c r="E645" s="46">
        <v>2289.0030815549098</v>
      </c>
      <c r="F645">
        <v>450</v>
      </c>
      <c r="G645" t="s">
        <v>41</v>
      </c>
      <c r="I645" s="46">
        <v>0</v>
      </c>
      <c r="J645" s="46">
        <v>1113.5402435549099</v>
      </c>
      <c r="K645" s="46">
        <v>0</v>
      </c>
      <c r="L645" s="46">
        <v>1175.4628379999999</v>
      </c>
      <c r="M645" s="46">
        <v>0</v>
      </c>
      <c r="N645" s="46">
        <v>0</v>
      </c>
    </row>
    <row r="646" spans="1:14" outlineLevel="1" x14ac:dyDescent="0.25">
      <c r="B646">
        <v>3254</v>
      </c>
      <c r="C646" s="47" t="s">
        <v>84</v>
      </c>
      <c r="D646" s="47"/>
      <c r="E646" s="46">
        <v>2289.0030815549098</v>
      </c>
      <c r="F646">
        <v>450</v>
      </c>
      <c r="G646" t="s">
        <v>41</v>
      </c>
      <c r="I646" s="46">
        <v>0</v>
      </c>
      <c r="J646" s="46">
        <v>1113.5402435549099</v>
      </c>
      <c r="K646" s="46">
        <v>0</v>
      </c>
      <c r="L646" s="46">
        <v>1175.4628379999999</v>
      </c>
      <c r="M646" s="46">
        <v>0</v>
      </c>
      <c r="N646" s="46">
        <v>0</v>
      </c>
    </row>
    <row r="647" spans="1:14" x14ac:dyDescent="0.25">
      <c r="A647">
        <v>16</v>
      </c>
      <c r="C647" t="s">
        <v>331</v>
      </c>
      <c r="E647" s="46">
        <v>48008.811562716801</v>
      </c>
      <c r="F647">
        <v>1</v>
      </c>
      <c r="G647" t="s">
        <v>34</v>
      </c>
      <c r="H647" s="46">
        <v>63000</v>
      </c>
      <c r="I647" s="46">
        <v>0</v>
      </c>
      <c r="J647" s="46">
        <v>11005.3595627168</v>
      </c>
      <c r="K647" s="46">
        <v>6187.5</v>
      </c>
      <c r="L647" s="46">
        <v>4888.7520000000004</v>
      </c>
      <c r="M647" s="46">
        <v>25927.200000000001</v>
      </c>
      <c r="N647" s="46">
        <v>0</v>
      </c>
    </row>
    <row r="648" spans="1:14" outlineLevel="1" x14ac:dyDescent="0.25">
      <c r="C648" s="47" t="s">
        <v>332</v>
      </c>
      <c r="D648" s="47"/>
      <c r="E648" s="46">
        <v>5003.9923738439302</v>
      </c>
      <c r="F648">
        <v>4</v>
      </c>
      <c r="G648" t="s">
        <v>39</v>
      </c>
      <c r="I648" s="46">
        <v>0</v>
      </c>
      <c r="J648" s="46">
        <v>1291.49237384393</v>
      </c>
      <c r="K648" s="46">
        <v>3712.5</v>
      </c>
      <c r="L648" s="46">
        <v>0</v>
      </c>
      <c r="M648" s="46">
        <v>0</v>
      </c>
      <c r="N648" s="46">
        <v>0</v>
      </c>
    </row>
    <row r="649" spans="1:14" outlineLevel="1" x14ac:dyDescent="0.25">
      <c r="B649">
        <v>2105</v>
      </c>
      <c r="C649" s="47" t="s">
        <v>49</v>
      </c>
      <c r="D649" s="47"/>
      <c r="E649" s="46">
        <v>5003.9923738439302</v>
      </c>
      <c r="F649">
        <v>4</v>
      </c>
      <c r="G649" t="s">
        <v>39</v>
      </c>
      <c r="I649" s="46">
        <v>0</v>
      </c>
      <c r="J649" s="46">
        <v>1291.49237384393</v>
      </c>
      <c r="K649" s="46">
        <v>3712.5</v>
      </c>
      <c r="L649" s="46">
        <v>0</v>
      </c>
      <c r="M649" s="46">
        <v>0</v>
      </c>
      <c r="N649" s="46">
        <v>0</v>
      </c>
    </row>
    <row r="650" spans="1:14" outlineLevel="1" x14ac:dyDescent="0.25">
      <c r="B650">
        <v>3130</v>
      </c>
      <c r="C650" s="47" t="s">
        <v>333</v>
      </c>
      <c r="D650" s="47"/>
      <c r="E650" s="46">
        <v>11723.7177489884</v>
      </c>
      <c r="F650">
        <v>4</v>
      </c>
      <c r="G650" t="s">
        <v>39</v>
      </c>
      <c r="I650" s="46">
        <v>0</v>
      </c>
      <c r="J650" s="46">
        <v>6309.9657489884403</v>
      </c>
      <c r="K650" s="46">
        <v>525</v>
      </c>
      <c r="L650" s="46">
        <v>4888.7520000000004</v>
      </c>
      <c r="M650" s="46">
        <v>0</v>
      </c>
      <c r="N650" s="46">
        <v>0</v>
      </c>
    </row>
    <row r="651" spans="1:14" outlineLevel="1" x14ac:dyDescent="0.25">
      <c r="B651">
        <v>2705</v>
      </c>
      <c r="C651" s="49" t="s">
        <v>274</v>
      </c>
      <c r="D651" s="49"/>
      <c r="E651" s="46">
        <v>5353.9014398843901</v>
      </c>
      <c r="F651">
        <v>1</v>
      </c>
      <c r="G651" t="s">
        <v>34</v>
      </c>
      <c r="I651" s="46">
        <v>0</v>
      </c>
      <c r="J651" s="46">
        <v>3403.9014398843901</v>
      </c>
      <c r="K651" s="46">
        <v>1950</v>
      </c>
      <c r="L651" s="46">
        <v>0</v>
      </c>
      <c r="M651" s="46">
        <v>0</v>
      </c>
      <c r="N651" s="46">
        <v>0</v>
      </c>
    </row>
    <row r="652" spans="1:14" outlineLevel="1" x14ac:dyDescent="0.25">
      <c r="B652">
        <v>2700</v>
      </c>
      <c r="C652" s="47" t="s">
        <v>277</v>
      </c>
      <c r="D652" s="47"/>
      <c r="E652" s="46">
        <v>25927.200000000001</v>
      </c>
      <c r="F652">
        <v>1</v>
      </c>
      <c r="G652" t="s">
        <v>34</v>
      </c>
      <c r="I652" s="46">
        <v>0</v>
      </c>
      <c r="J652" s="46">
        <v>0</v>
      </c>
      <c r="K652" s="46">
        <v>0</v>
      </c>
      <c r="L652" s="46">
        <v>0</v>
      </c>
      <c r="M652" s="46">
        <v>25927.200000000001</v>
      </c>
      <c r="N652" s="46">
        <v>0</v>
      </c>
    </row>
    <row r="653" spans="1:14" x14ac:dyDescent="0.25">
      <c r="A653">
        <v>17</v>
      </c>
      <c r="C653" t="s">
        <v>334</v>
      </c>
      <c r="E653" s="46">
        <v>50561.791562716797</v>
      </c>
      <c r="F653">
        <v>1</v>
      </c>
      <c r="G653" t="s">
        <v>34</v>
      </c>
      <c r="H653" s="46">
        <v>65000</v>
      </c>
      <c r="I653" s="46">
        <v>0</v>
      </c>
      <c r="J653" s="46">
        <v>11005.3595627168</v>
      </c>
      <c r="K653" s="46">
        <v>6187.5</v>
      </c>
      <c r="L653" s="46">
        <v>4888.7520000000004</v>
      </c>
      <c r="M653" s="46">
        <v>28480.18</v>
      </c>
      <c r="N653" s="46">
        <v>0</v>
      </c>
    </row>
    <row r="654" spans="1:14" outlineLevel="1" x14ac:dyDescent="0.25">
      <c r="C654" s="47" t="s">
        <v>335</v>
      </c>
      <c r="D654" s="47"/>
      <c r="E654" s="46">
        <v>5003.9923738439302</v>
      </c>
      <c r="F654">
        <v>4</v>
      </c>
      <c r="G654" t="s">
        <v>39</v>
      </c>
      <c r="I654" s="46">
        <v>0</v>
      </c>
      <c r="J654" s="46">
        <v>1291.49237384393</v>
      </c>
      <c r="K654" s="46">
        <v>3712.5</v>
      </c>
      <c r="L654" s="46">
        <v>0</v>
      </c>
      <c r="M654" s="46">
        <v>0</v>
      </c>
      <c r="N654" s="46">
        <v>0</v>
      </c>
    </row>
    <row r="655" spans="1:14" outlineLevel="1" x14ac:dyDescent="0.25">
      <c r="B655">
        <v>2105</v>
      </c>
      <c r="C655" s="47" t="s">
        <v>49</v>
      </c>
      <c r="D655" s="47"/>
      <c r="E655" s="46">
        <v>5003.9923738439302</v>
      </c>
      <c r="F655">
        <v>4</v>
      </c>
      <c r="G655" t="s">
        <v>39</v>
      </c>
      <c r="I655" s="46">
        <v>0</v>
      </c>
      <c r="J655" s="46">
        <v>1291.49237384393</v>
      </c>
      <c r="K655" s="46">
        <v>3712.5</v>
      </c>
      <c r="L655" s="46">
        <v>0</v>
      </c>
      <c r="M655" s="46">
        <v>0</v>
      </c>
      <c r="N655" s="46">
        <v>0</v>
      </c>
    </row>
    <row r="656" spans="1:14" outlineLevel="1" x14ac:dyDescent="0.25">
      <c r="B656">
        <v>3130</v>
      </c>
      <c r="C656" s="47" t="s">
        <v>333</v>
      </c>
      <c r="D656" s="47"/>
      <c r="E656" s="46">
        <v>11723.7177489884</v>
      </c>
      <c r="F656">
        <v>4</v>
      </c>
      <c r="G656" t="s">
        <v>39</v>
      </c>
      <c r="I656" s="46">
        <v>0</v>
      </c>
      <c r="J656" s="46">
        <v>6309.9657489884403</v>
      </c>
      <c r="K656" s="46">
        <v>525</v>
      </c>
      <c r="L656" s="46">
        <v>4888.7520000000004</v>
      </c>
      <c r="M656" s="46">
        <v>0</v>
      </c>
      <c r="N656" s="46">
        <v>0</v>
      </c>
    </row>
    <row r="657" spans="1:14" outlineLevel="1" x14ac:dyDescent="0.25">
      <c r="B657">
        <v>2705</v>
      </c>
      <c r="C657" s="47" t="s">
        <v>274</v>
      </c>
      <c r="D657" s="47"/>
      <c r="E657" s="46">
        <v>5353.9014398843901</v>
      </c>
      <c r="F657">
        <v>2</v>
      </c>
      <c r="G657" t="s">
        <v>39</v>
      </c>
      <c r="I657" s="46">
        <v>0</v>
      </c>
      <c r="J657" s="46">
        <v>3403.9014398843901</v>
      </c>
      <c r="K657" s="46">
        <v>1950</v>
      </c>
      <c r="L657" s="46">
        <v>0</v>
      </c>
      <c r="M657" s="46">
        <v>0</v>
      </c>
      <c r="N657" s="46">
        <v>0</v>
      </c>
    </row>
    <row r="658" spans="1:14" outlineLevel="1" x14ac:dyDescent="0.25">
      <c r="B658">
        <v>2700</v>
      </c>
      <c r="C658" s="47" t="s">
        <v>277</v>
      </c>
      <c r="D658" s="47"/>
      <c r="E658" s="46">
        <v>28480.18</v>
      </c>
      <c r="F658">
        <v>1</v>
      </c>
      <c r="G658" t="s">
        <v>34</v>
      </c>
      <c r="I658" s="46">
        <v>0</v>
      </c>
      <c r="J658" s="46">
        <v>0</v>
      </c>
      <c r="K658" s="46">
        <v>0</v>
      </c>
      <c r="L658" s="46">
        <v>0</v>
      </c>
      <c r="M658" s="46">
        <v>28480.18</v>
      </c>
      <c r="N658" s="46">
        <v>0</v>
      </c>
    </row>
    <row r="659" spans="1:14" x14ac:dyDescent="0.25">
      <c r="A659">
        <v>18</v>
      </c>
      <c r="C659" t="s">
        <v>336</v>
      </c>
      <c r="E659" s="46">
        <v>320945.34607953299</v>
      </c>
      <c r="F659">
        <v>1</v>
      </c>
      <c r="G659" t="s">
        <v>34</v>
      </c>
      <c r="H659" s="46">
        <v>398000</v>
      </c>
      <c r="I659" s="46">
        <v>0</v>
      </c>
      <c r="J659" s="46">
        <v>23455.239783237001</v>
      </c>
      <c r="K659" s="46">
        <v>39131</v>
      </c>
      <c r="L659" s="46">
        <v>208890</v>
      </c>
      <c r="M659" s="46">
        <v>0</v>
      </c>
      <c r="N659" s="46">
        <v>49469.106296296297</v>
      </c>
    </row>
    <row r="660" spans="1:14" outlineLevel="1" x14ac:dyDescent="0.25">
      <c r="C660" s="47" t="s">
        <v>337</v>
      </c>
      <c r="D660" s="47"/>
      <c r="E660" s="46">
        <v>320945.34607953299</v>
      </c>
      <c r="F660">
        <v>8800</v>
      </c>
      <c r="G660" t="s">
        <v>42</v>
      </c>
      <c r="I660" s="46">
        <v>0</v>
      </c>
      <c r="J660" s="46">
        <v>23455.239783237001</v>
      </c>
      <c r="K660" s="46">
        <v>39131</v>
      </c>
      <c r="L660" s="46">
        <v>208890</v>
      </c>
      <c r="M660" s="46">
        <v>0</v>
      </c>
      <c r="N660" s="46">
        <v>49469.106296296297</v>
      </c>
    </row>
    <row r="661" spans="1:14" outlineLevel="1" x14ac:dyDescent="0.25">
      <c r="B661">
        <v>2470</v>
      </c>
      <c r="C661" s="47" t="s">
        <v>338</v>
      </c>
      <c r="D661" s="47"/>
      <c r="E661" s="46">
        <v>62586.239783236997</v>
      </c>
      <c r="F661">
        <v>8800</v>
      </c>
      <c r="G661" t="s">
        <v>42</v>
      </c>
      <c r="I661" s="46">
        <v>0</v>
      </c>
      <c r="J661" s="46">
        <v>23455.239783237001</v>
      </c>
      <c r="K661" s="46">
        <v>39131</v>
      </c>
      <c r="L661" s="46">
        <v>0</v>
      </c>
      <c r="M661" s="46">
        <v>0</v>
      </c>
      <c r="N661" s="46">
        <v>0</v>
      </c>
    </row>
    <row r="662" spans="1:14" outlineLevel="1" x14ac:dyDescent="0.25">
      <c r="B662">
        <v>2490</v>
      </c>
      <c r="C662" s="47" t="s">
        <v>37</v>
      </c>
      <c r="D662" s="47"/>
      <c r="E662" s="46">
        <v>208890</v>
      </c>
      <c r="F662">
        <v>18568</v>
      </c>
      <c r="G662" t="s">
        <v>43</v>
      </c>
      <c r="I662" s="46">
        <v>0</v>
      </c>
      <c r="J662" s="46">
        <v>0</v>
      </c>
      <c r="K662" s="46">
        <v>0</v>
      </c>
      <c r="L662" s="46">
        <v>208890</v>
      </c>
      <c r="M662" s="46">
        <v>0</v>
      </c>
      <c r="N662" s="46">
        <v>0</v>
      </c>
    </row>
    <row r="663" spans="1:14" outlineLevel="1" x14ac:dyDescent="0.25">
      <c r="B663">
        <v>2150</v>
      </c>
      <c r="C663" s="47" t="s">
        <v>38</v>
      </c>
      <c r="D663" s="47"/>
      <c r="E663" s="46">
        <v>49469.106296296297</v>
      </c>
      <c r="F663">
        <v>18568</v>
      </c>
      <c r="G663" t="s">
        <v>43</v>
      </c>
      <c r="I663" s="46">
        <v>0</v>
      </c>
      <c r="J663" s="46">
        <v>0</v>
      </c>
      <c r="K663" s="46">
        <v>0</v>
      </c>
      <c r="L663" s="46">
        <v>0</v>
      </c>
      <c r="M663" s="46">
        <v>0</v>
      </c>
      <c r="N663" s="46">
        <v>49469.106296296297</v>
      </c>
    </row>
    <row r="664" spans="1:14" x14ac:dyDescent="0.25">
      <c r="A664">
        <v>19</v>
      </c>
      <c r="C664" t="s">
        <v>339</v>
      </c>
      <c r="E664" s="46">
        <v>81601.060815028904</v>
      </c>
      <c r="F664">
        <v>1</v>
      </c>
      <c r="G664" t="s">
        <v>34</v>
      </c>
      <c r="H664" s="46">
        <v>100000</v>
      </c>
      <c r="I664" s="46">
        <v>0</v>
      </c>
      <c r="J664" s="46">
        <v>76601.060815028904</v>
      </c>
      <c r="K664" s="46">
        <v>0</v>
      </c>
      <c r="L664" s="46">
        <v>0</v>
      </c>
      <c r="M664" s="46">
        <v>0</v>
      </c>
      <c r="N664" s="46">
        <v>0</v>
      </c>
    </row>
    <row r="665" spans="1:14" outlineLevel="1" x14ac:dyDescent="0.25">
      <c r="B665">
        <v>1400</v>
      </c>
      <c r="C665" s="47" t="s">
        <v>340</v>
      </c>
      <c r="D665" s="47"/>
      <c r="E665" s="46">
        <v>81601.060815028904</v>
      </c>
      <c r="F665">
        <v>1</v>
      </c>
      <c r="G665" t="s">
        <v>34</v>
      </c>
      <c r="I665" s="46">
        <v>0</v>
      </c>
      <c r="J665" s="46">
        <v>76601.060815028904</v>
      </c>
      <c r="K665" s="46">
        <v>0</v>
      </c>
      <c r="L665" s="46">
        <v>0</v>
      </c>
      <c r="M665" s="46">
        <v>0</v>
      </c>
      <c r="N665" s="4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C91A2E-EE44-49D7-A224-49C562A14A4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SOV</vt:lpstr>
      <vt:lpstr>Detail</vt:lpstr>
      <vt:lpstr>Sheet2</vt:lpstr>
      <vt:lpstr>Sheet1</vt:lpstr>
      <vt:lpstr>Detail!Print_Area</vt:lpstr>
      <vt:lpstr>SOV!Print_Area</vt:lpstr>
      <vt:lpstr>Detail!Print_Titles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Leon</dc:creator>
  <cp:lastModifiedBy>Kai Mitchell</cp:lastModifiedBy>
  <cp:lastPrinted>2025-12-19T22:11:18Z</cp:lastPrinted>
  <dcterms:created xsi:type="dcterms:W3CDTF">2020-11-16T15:40:31Z</dcterms:created>
  <dcterms:modified xsi:type="dcterms:W3CDTF">2026-01-15T19:49:34Z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{EAC91A2E-EE44-49D7-A224-49C562A14A48}</vt:lpwstr>
  </property>
</Properties>
</file>